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drawings/drawing4.xml" ContentType="application/vnd.openxmlformats-officedocument.drawing+xml"/>
  <Override PartName="/xl/drawings/charts/chart4.xml" ContentType="application/vnd.openxmlformats-officedocument.drawingml.char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drawings/charts/chart5.xml" ContentType="application/vnd.openxmlformats-officedocument.drawingml.char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db4366187b43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9622bc98aa4878"/>
    <x:sheet xmlns:r="http://schemas.openxmlformats.org/officeDocument/2006/relationships" name="Experiment Matrix" sheetId="2" r:id="R2208cf93a02d452f"/>
    <x:sheet xmlns:r="http://schemas.openxmlformats.org/officeDocument/2006/relationships" name="Endpoint Screen" sheetId="3" r:id="R09fc7d2aeaff4374"/>
    <x:sheet xmlns:r="http://schemas.openxmlformats.org/officeDocument/2006/relationships" name="Climate Epochs" sheetId="4" r:id="Rdf4ac8c779ca4eec"/>
    <x:sheet xmlns:r="http://schemas.openxmlformats.org/officeDocument/2006/relationships" name="2024 Ranking" sheetId="5" r:id="Rab054632c7d0483c"/>
    <x:sheet xmlns:r="http://schemas.openxmlformats.org/officeDocument/2006/relationships" name="Component Epochs" sheetId="6" r:id="R4c83ce2597174eb0"/>
    <x:sheet xmlns:r="http://schemas.openxmlformats.org/officeDocument/2006/relationships" name="Rank Uncertainty" sheetId="7" r:id="R9a1ded9c98114cec"/>
    <x:sheet xmlns:r="http://schemas.openxmlformats.org/officeDocument/2006/relationships" name="Model Comparison" sheetId="8" r:id="R9346b82791934a2d"/>
    <x:sheet xmlns:r="http://schemas.openxmlformats.org/officeDocument/2006/relationships" name="Ablation" sheetId="9" r:id="R3ab1fe0258754f11"/>
    <x:sheet xmlns:r="http://schemas.openxmlformats.org/officeDocument/2006/relationships" name="Scale Sensitivity" sheetId="10" r:id="R2b212f951cc6424f"/>
    <x:sheet xmlns:r="http://schemas.openxmlformats.org/officeDocument/2006/relationships" name="Terrain" sheetId="11" r:id="R0921c2a5c02842fe"/>
    <x:sheet xmlns:r="http://schemas.openxmlformats.org/officeDocument/2006/relationships" name="Climate-Spectral" sheetId="12" r:id="R9df0c301870e43b9"/>
    <x:sheet xmlns:r="http://schemas.openxmlformats.org/officeDocument/2006/relationships" name="Validation" sheetId="13" r:id="R674164427cee42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0.000"/>
    <x:numFmt numFmtId="202" formatCode="0.00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B6573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0"/>
      <x:color rgb="FF6B4F00"/>
      <x:name val="Carlito"/>
    </x:font>
    <x:font>
      <x:b/>
      <x:sz val="9"/>
      <x:color rgb="FFFFFFFF"/>
      <x:name val="Carlito"/>
    </x:font>
    <x:font>
      <x:sz val="9"/>
      <x:color rgb="FF1F2937"/>
      <x:name val="Carlito"/>
    </x:font>
    <x:font>
      <x:b/>
      <x:sz val="18"/>
      <x:color rgb="FFFFFFFF"/>
      <x:name val="Aptos"/>
    </x:font>
    <x:font>
      <x:sz val="11"/>
      <x:name val="Aptos"/>
    </x:font>
    <x:font>
      <x:i/>
      <x:sz val="10"/>
      <x:color rgb="FF5B6573"/>
      <x:name val="Aptos"/>
    </x:font>
    <x:font>
      <x:b/>
      <x:sz val="11"/>
      <x:color rgb="FFFFFFFF"/>
      <x:name val="Aptos"/>
    </x:font>
    <x:font>
      <x:b/>
      <x:sz val="11"/>
      <x:color rgb="FF1F2937"/>
      <x:name val="Aptos"/>
    </x:font>
    <x:font>
      <x:b/>
      <x:sz val="10"/>
      <x:color rgb="FF6B4F00"/>
      <x:name val="Aptos"/>
    </x:font>
    <x:font>
      <x:b/>
      <x:sz val="9"/>
      <x:color rgb="FFFFFFFF"/>
      <x:name val="Aptos"/>
    </x:font>
    <x:font>
      <x:sz val="9"/>
      <x:color rgb="FF1F2937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DF4F7"/>
      </x:patternFill>
    </x:fill>
    <x:fill>
      <x:patternFill patternType="solid">
        <x:fgColor rgb="FF0F766E"/>
      </x:patternFill>
    </x:fill>
    <x:fill>
      <x:patternFill patternType="solid">
        <x:fgColor rgb="FFFFF7E3"/>
      </x:patternFill>
    </x:fill>
  </x:fills>
  <x:borders count="3">
    <x:border/>
    <x:border>
      <x:left style="thin">
        <x:color rgb="FFD3DAE2"/>
      </x:left>
      <x:right style="thin">
        <x:color rgb="FFD3DAE2"/>
      </x:right>
      <x:top style="thin">
        <x:color rgb="FFD3DAE2"/>
      </x:top>
      <x:bottom style="thin">
        <x:color rgb="FFD3DAE2"/>
      </x:bottom>
    </x:border>
    <x:border>
      <x:left style="thin">
        <x:color rgb="FFD9A441"/>
      </x:left>
      <x:right style="thin">
        <x:color rgb="FFD9A441"/>
      </x:right>
      <x:top style="thin">
        <x:color rgb="FFD9A441"/>
      </x:top>
      <x:bottom style="thin">
        <x:color rgb="FFD9A441"/>
      </x:bottom>
    </x:border>
  </x:borders>
  <x:cellStyleXfs count="1">
    <x:xf numFmtId="0" fontId="0" fillId="0" borderId="0"/>
  </x:cellStyleXfs>
  <x:cellXfs count="4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4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2" xfId="0" applyNumberFormat="1" applyFont="1" applyFill="1" applyBorder="1"/>
    <x:xf numFmtId="0" fontId="5" fillId="5" borderId="2" xfId="0" applyNumberFormat="1" applyFont="1" applyFill="1" applyBorder="1" applyAlignment="1">
      <x:alignment wrapText="1"/>
    </x:xf>
    <x:xf numFmtId="0" fontId="5" fillId="5" borderId="2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1" xfId="0" applyNumberFormat="1" applyFont="1" applyFill="1" applyBorder="1"/>
    <x:xf numFmtId="0" fontId="6" fillId="4" borderId="1" xfId="0" applyNumberFormat="1" applyFont="1" applyFill="1" applyBorder="1" applyAlignment="1">
      <x:alignment wrapText="1"/>
    </x:xf>
    <x:xf numFmtId="0" fontId="6" fillId="4" borderId="1" xfId="0" applyNumberFormat="1" applyFont="1" applyFill="1" applyBorder="1" applyAlignment="1">
      <x:alignment horizontal="center" wrapText="1"/>
    </x:xf>
    <x:xf numFmtId="0" fontId="6" fillId="4" borderId="1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7" fillId="0" borderId="1" xfId="0" applyNumberFormat="1" applyFont="1" applyFill="1" applyBorder="1"/>
    <x:xf numFmtId="0" fontId="7" fillId="0" borderId="1" xfId="0" applyNumberFormat="1" applyFont="1" applyFill="1" applyBorder="1" applyAlignment="1">
      <x:alignment vertical="center"/>
    </x:xf>
    <x:xf numFmtId="201" fontId="7" fillId="0" borderId="1" xfId="0" applyNumberFormat="1" applyFont="1" applyFill="1" applyBorder="1" applyAlignment="1">
      <x:alignment vertical="center"/>
    </x:xf>
    <x:xf numFmtId="202" fontId="7" fillId="0" borderId="1" xfId="0" applyNumberFormat="1" applyFont="1" applyFill="1" applyBorder="1" applyAlignment="1">
      <x:alignment vertical="center"/>
    </x:xf>
    <x:xf numFmtId="200" fontId="7" fillId="0" borderId="1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0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 wrapText="1"/>
    </x:xf>
    <x:xf numFmtId="0" fontId="11" fillId="4" borderId="1" xfId="0" applyNumberFormat="1" applyFont="1" applyFill="1" applyBorder="1"/>
    <x:xf numFmtId="0" fontId="12" fillId="0" borderId="1" xfId="0" applyNumberFormat="1" applyFont="1" applyFill="1" applyBorder="1"/>
    <x:xf numFmtId="200" fontId="9" fillId="0" borderId="1" xfId="0" applyNumberFormat="1" applyFont="1" applyFill="1" applyBorder="1"/>
    <x:xf numFmtId="201" fontId="9" fillId="0" borderId="1" xfId="0" applyNumberFormat="1" applyFont="1" applyFill="1" applyBorder="1"/>
    <x:xf numFmtId="0" fontId="9" fillId="0" borderId="1" xfId="0" applyNumberFormat="1" applyFont="1" applyFill="1" applyBorder="1"/>
    <x:xf numFmtId="0" fontId="13" fillId="5" borderId="2" xfId="0" applyNumberFormat="1" applyFont="1" applyFill="1" applyBorder="1" applyAlignment="1">
      <x:alignment vertical="center" wrapText="1"/>
    </x:xf>
    <x:xf numFmtId="0" fontId="14" fillId="4" borderId="1" xfId="0" applyNumberFormat="1" applyFont="1" applyFill="1" applyBorder="1" applyAlignment="1">
      <x:alignment horizontal="center" vertical="center" wrapText="1"/>
    </x:xf>
    <x:xf numFmtId="0" fontId="15" fillId="0" borderId="1" xfId="0" applyNumberFormat="1" applyFont="1" applyFill="1" applyBorder="1" applyAlignment="1">
      <x:alignment vertical="center"/>
    </x:xf>
    <x:xf numFmtId="201" fontId="15" fillId="0" borderId="1" xfId="0" applyNumberFormat="1" applyFont="1" applyFill="1" applyBorder="1" applyAlignment="1">
      <x:alignment vertical="center"/>
    </x:xf>
    <x:xf numFmtId="202" fontId="15" fillId="0" borderId="1" xfId="0" applyNumberFormat="1" applyFont="1" applyFill="1" applyBorder="1" applyAlignment="1">
      <x:alignment vertical="center"/>
    </x:xf>
    <x:xf numFmtId="200" fontId="15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776b5c4e6e4403" /><Relationship Type="http://schemas.openxmlformats.org/officeDocument/2006/relationships/theme" Target="/xl/theme/theme1.xml" Id="Rce5d754a236e42c0" /><Relationship Type="http://schemas.openxmlformats.org/officeDocument/2006/relationships/sharedStrings" Target="/xl/sharedStrings.xml" Id="Rafbbfb0c13a64a85" /><Relationship Type="http://schemas.openxmlformats.org/officeDocument/2006/relationships/worksheet" Target="/xl/worksheets/sheet1.xml" Id="R979622bc98aa4878" /><Relationship Type="http://schemas.openxmlformats.org/officeDocument/2006/relationships/worksheet" Target="/xl/worksheets/sheet2.xml" Id="R2208cf93a02d452f" /><Relationship Type="http://schemas.openxmlformats.org/officeDocument/2006/relationships/worksheet" Target="/xl/worksheets/sheet3.xml" Id="R09fc7d2aeaff4374" /><Relationship Type="http://schemas.openxmlformats.org/officeDocument/2006/relationships/worksheet" Target="/xl/worksheets/sheet4.xml" Id="Rdf4ac8c779ca4eec" /><Relationship Type="http://schemas.openxmlformats.org/officeDocument/2006/relationships/worksheet" Target="/xl/worksheets/sheet5.xml" Id="Rab054632c7d0483c" /><Relationship Type="http://schemas.openxmlformats.org/officeDocument/2006/relationships/worksheet" Target="/xl/worksheets/sheet6.xml" Id="R4c83ce2597174eb0" /><Relationship Type="http://schemas.openxmlformats.org/officeDocument/2006/relationships/worksheet" Target="/xl/worksheets/sheet7.xml" Id="R9a1ded9c98114cec" /><Relationship Type="http://schemas.openxmlformats.org/officeDocument/2006/relationships/worksheet" Target="/xl/worksheets/sheet8.xml" Id="R9346b82791934a2d" /><Relationship Type="http://schemas.openxmlformats.org/officeDocument/2006/relationships/worksheet" Target="/xl/worksheets/sheet9.xml" Id="R3ab1fe0258754f11" /><Relationship Type="http://schemas.openxmlformats.org/officeDocument/2006/relationships/worksheet" Target="/xl/worksheets/sheet10.xml" Id="R2b212f951cc6424f" /><Relationship Type="http://schemas.openxmlformats.org/officeDocument/2006/relationships/worksheet" Target="/xl/worksheets/sheet11.xml" Id="R0921c2a5c02842fe" /><Relationship Type="http://schemas.openxmlformats.org/officeDocument/2006/relationships/worksheet" Target="/xl/worksheets/sheet12.xml" Id="R9df0c301870e43b9" /><Relationship Type="http://schemas.openxmlformats.org/officeDocument/2006/relationships/worksheet" Target="/xl/worksheets/sheet13.xml" Id="R674164427cee426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65281ca36c34e1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bba6957e0e454917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f036a175f7f94abb" /></Relationships>
</file>

<file path=xl/drawings/_rels/drawing4.xml.rels>&#65279;<?xml version="1.0" encoding="utf-8"?><Relationships xmlns="http://schemas.openxmlformats.org/package/2006/relationships"><Relationship Type="http://schemas.openxmlformats.org/officeDocument/2006/relationships/chart" Target="/xl/drawings/charts/chart4.xml" Id="R2686233f910d4c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chart" Target="/xl/drawings/charts/chart5.xml" Id="Rf156d041c6e5453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Climate-extreme score by matched epoch</a:t>
            </a:r>
          </a:p>
        </c:rich>
      </c:tx>
    </c:title>
    <c:plotArea>
      <c:lineChart>
        <c:grouping val="standard"/>
        <c:ser>
          <c:idx val="0"/>
          <c:order val="0"/>
          <c:tx>
            <c:v>Series 1</c:v>
          </c:tx>
          <c:marker>
            <c:symbol val="none"/>
          </c:marker>
          <c:cat>
            <c:strRef>
              <c:f>'Climate Epochs'!$B$5:$B$9</c:f>
              <c:strCache>
                <c:ptCount val="1"/>
                <c:pt idx="0">
                  <c:v>Item 1</c:v>
                </c:pt>
              </c:strCache>
            </c:strRef>
          </c:cat>
          <c:val>
            <c:numLit>
              <c:formatCode>0.00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Climate-extreme score</c:v>
          </c:tx>
          <c:marker>
            <c:symbol val="none"/>
          </c:marker>
          <c:cat>
            <c:strLit>
              <c:ptCount val="1"/>
              <c:pt idx="0">
                <c:v>Item 1</c:v>
              </c:pt>
            </c:strLit>
          </c:cat>
          <c:val>
            <c:numRef>
              <c:f>'Climate Epochs'!$AB$5:$AB$9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  <c:max val="1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Twelve highest 500 m local-priority scores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'2024 Ranking'!$A$5:$A$16</c:f>
              <c:strCache>
                <c:ptCount val="1"/>
                <c:pt idx="0">
                  <c:v>Item 1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Local priority</c:v>
          </c:tx>
          <c:cat>
            <c:strLit>
              <c:ptCount val="1"/>
              <c:pt idx="0">
                <c:v>Item 1</c:v>
              </c:pt>
            </c:strLit>
          </c:cat>
          <c:val>
            <c:numRef>
              <c:f>'2024 Ranking'!$G$5:$G$16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Probability of ranking in the top five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'Rank Uncertainty'!$B$5:$B$14</c:f>
              <c:strCache>
                <c:ptCount val="1"/>
                <c:pt idx="0">
                  <c:v>Item 1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Probability top 5</c:v>
          </c:tx>
          <c:cat>
            <c:strLit>
              <c:ptCount val="1"/>
              <c:pt idx="0">
                <c:v>Item 1</c:v>
              </c:pt>
            </c:strLit>
          </c:cat>
          <c:val>
            <c:numRef>
              <c:f>'Rank Uncertainty'!$H$5:$H$14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Held-out proxy macro-F1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'Model Comparison'!$A$5:$A$9</c:f>
              <c:strCache>
                <c:ptCount val="1"/>
                <c:pt idx="0">
                  <c:v>Item 1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Macro-F1</c:v>
          </c:tx>
          <c:cat>
            <c:strLit>
              <c:ptCount val="1"/>
              <c:pt idx="0">
                <c:v>Item 1</c:v>
              </c:pt>
            </c:strLit>
          </c:cat>
          <c:val>
            <c:numRef>
              <c:f>'Model Comparison'!$E$5:$E$9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5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Ranking stability after evidence removal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Series 1</c:v>
          </c:tx>
          <c:cat>
            <c:strRef>
              <c:f>'Ablation'!$A$5:$A$10</c:f>
              <c:strCache>
                <c:ptCount val="1"/>
                <c:pt idx="0">
                  <c:v>Item 1</c:v>
                </c:pt>
              </c:strCache>
            </c:strRef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Spearman rho</c:v>
          </c:tx>
          <c:cat>
            <c:strLit>
              <c:ptCount val="1"/>
              <c:pt idx="0">
                <c:v>Item 1</c:v>
              </c:pt>
            </c:strLit>
          </c:cat>
          <c:val>
            <c:numRef>
              <c:f>'Ablation'!$B$5:$B$10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0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36</xdr:col>
      <xdr:colOff>0</xdr:colOff>
      <xdr:row>3</xdr:row>
      <xdr:rowOff>0</xdr:rowOff>
    </xdr:from>
    <xdr:to>
      <xdr:col>45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65281ca36c34e1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3</xdr:row>
      <xdr:rowOff>0</xdr:rowOff>
    </xdr:from>
    <xdr:to>
      <xdr:col>17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ba6957e0e45491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11</xdr:col>
      <xdr:colOff>0</xdr:colOff>
      <xdr:row>3</xdr:row>
      <xdr:rowOff>0</xdr:rowOff>
    </xdr:from>
    <xdr:to>
      <xdr:col>20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036a175f7f94abb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>
  <xdr:twoCellAnchor>
    <xdr:from>
      <xdr:col>20</xdr:col>
      <xdr:colOff>0</xdr:colOff>
      <xdr:row>3</xdr:row>
      <xdr:rowOff>0</xdr:rowOff>
    </xdr:from>
    <xdr:to>
      <xdr:col>29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686233f910d4c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>
  <xdr:twoCellAnchor>
    <xdr:from>
      <xdr:col>5</xdr:col>
      <xdr:colOff>0</xdr:colOff>
      <xdr:row>3</xdr:row>
      <xdr:rowOff>0</xdr:rowOff>
    </xdr:from>
    <xdr:to>
      <xdr:col>14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56d041c6e5453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ExperimentMatrixTable" displayName="ExperimentMatrixTable" ref="A4:E10" headerRowCount="1" totalsRowCount="0" totalsRowShown="0">
  <x:tableColumns count="5">
    <x:tableColumn id="1" name="Experiment"/>
    <x:tableColumn id="2" name="Question"/>
    <x:tableColumn id="3" name="Evidence"/>
    <x:tableColumn id="4" name="Primary output"/>
    <x:tableColumn id="5" name="Inference 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dpointScreenTable" displayName="EndpointScreenTable" ref="A4:B16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imateEpochsTable" displayName="ClimateEpochsTable" ref="A4:AI9" headerRowCount="1" totalsRowCount="0" totalsRowShown="0">
  <x:tableColumns count="35">
    <x:tableColumn id="1" name="epoch_id"/>
    <x:tableColumn id="2" name="label_year"/>
    <x:tableColumn id="3" name="years"/>
    <x:tableColumn id="4" name="annual_rainfall_mm"/>
    <x:tableColumn id="5" name="monsoon_rainfall_mm"/>
    <x:tableColumn id="6" name="rx1day_mm"/>
    <x:tableColumn id="7" name="rx5day_mm"/>
    <x:tableColumn id="8" name="r95p_days"/>
    <x:tableColumn id="9" name="cwd_days"/>
    <x:tableColumn id="10" name="cdd_days"/>
    <x:tableColumn id="11" name="pre30_rainfall_mm"/>
    <x:tableColumn id="12" name="pre90_rainfall_mm"/>
    <x:tableColumn id="13" name="mean_tmax_c"/>
    <x:tableColumn id="14" name="annual_max_tmax_c"/>
    <x:tableColumn id="15" name="tx95_days"/>
    <x:tableColumn id="16" name="heatwave_max_days"/>
    <x:tableColumn id="17" name="mean_dtr_c"/>
    <x:tableColumn id="18" name="high_dtr_days"/>
    <x:tableColumn id="19" name="mean_rh_percent"/>
    <x:tableColumn id="20" name="strong_wind_days"/>
    <x:tableColumn id="21" name="rx5day_mm_percentile"/>
    <x:tableColumn id="22" name="r95p_days_percentile"/>
    <x:tableColumn id="23" name="cdd_days_percentile"/>
    <x:tableColumn id="24" name="tx95_days_percentile"/>
    <x:tableColumn id="25" name="heatwave_max_days_percentile"/>
    <x:tableColumn id="26" name="high_dtr_days_percentile"/>
    <x:tableColumn id="27" name="climate_extreme_score"/>
    <x:tableColumn id="28" name="monsoon_rainfall_mm_z"/>
    <x:tableColumn id="29" name="rx5day_mm_z"/>
    <x:tableColumn id="30" name="r95p_days_z"/>
    <x:tableColumn id="31" name="cdd_days_z"/>
    <x:tableColumn id="32" name="annual_max_tmax_c_z"/>
    <x:tableColumn id="33" name="tx95_days_z"/>
    <x:tableColumn id="34" name="heatwave_max_days_z"/>
    <x:tableColumn id="35" name="mean_dtr_c_z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Ranking2024Table" displayName="Ranking2024Table" ref="A4:G21" headerRowCount="1" totalsRowCount="0" totalsRowShown="0">
  <x:tableColumns count="7">
    <x:tableColumn id="1" name="component_name"/>
    <x:tableColumn id="2" name="component_id"/>
    <x:tableColumn id="3" name="landscape_pressure_score"/>
    <x:tableColumn id="4" name="terrain_susceptibility_score"/>
    <x:tableColumn id="5" name="climate_extreme_score"/>
    <x:tableColumn id="6" name="integrated_exposure_score"/>
    <x:tableColumn id="7" name="local_priority_scor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omponentEpochsTable" displayName="ComponentEpochsTable" ref="A4:AM259" headerRowCount="1" totalsRowCount="0" totalsRowShown="0">
  <x:tableColumns count="39">
    <x:tableColumn id="1" name="component_id"/>
    <x:tableColumn id="2" name="component_name"/>
    <x:tableColumn id="3" name="radius_m"/>
    <x:tableColumn id="4" name="epoch_id"/>
    <x:tableColumn id="5" name="label_year"/>
    <x:tableColumn id="6" name="valid_cells"/>
    <x:tableColumn id="7" name="ndvi_median"/>
    <x:tableColumn id="8" name="ndvi_p10"/>
    <x:tableColumn id="9" name="ndvi_p90"/>
    <x:tableColumn id="10" name="ndbi_median"/>
    <x:tableColumn id="11" name="ndbi_p10"/>
    <x:tableColumn id="12" name="ndbi_p90"/>
    <x:tableColumn id="13" name="mndwi_median"/>
    <x:tableColumn id="14" name="mndwi_p10"/>
    <x:tableColumn id="15" name="mndwi_p90"/>
    <x:tableColumn id="16" name="bsi_median"/>
    <x:tableColumn id="17" name="bsi_p10"/>
    <x:tableColumn id="18" name="bsi_p90"/>
    <x:tableColumn id="19" name="classified_cells"/>
    <x:tableColumn id="20" name="lc_class_1_share"/>
    <x:tableColumn id="21" name="lc_class_2_share"/>
    <x:tableColumn id="22" name="lc_class_3_share"/>
    <x:tableColumn id="23" name="lc_class_4_share"/>
    <x:tableColumn id="24" name="lc_class_5_share"/>
    <x:tableColumn id="25" name="lc_class_6_share"/>
    <x:tableColumn id="26" name="ndvi_pressure"/>
    <x:tableColumn id="27" name="mndwi_pressure"/>
    <x:tableColumn id="28" name="ndbi_pressure"/>
    <x:tableColumn id="29" name="built_share_pressure"/>
    <x:tableColumn id="30" name="bare_share_pressure"/>
    <x:tableColumn id="31" name="surface_cover_pressure"/>
    <x:tableColumn id="32" name="landscape_pressure_score"/>
    <x:tableColumn id="33" name="terrain_susceptibility_score"/>
    <x:tableColumn id="34" name="slope_pressure"/>
    <x:tableColumn id="35" name="wetness_pressure"/>
    <x:tableColumn id="36" name="drainage_proximity_pressure"/>
    <x:tableColumn id="37" name="climate_extreme_score"/>
    <x:tableColumn id="38" name="integrated_exposure_score"/>
    <x:tableColumn id="39" name="local_priority_scor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ankUncertaintyTable" displayName="RankUncertaintyTable" ref="A4:J21" headerRowCount="1" totalsRowCount="0" totalsRowShown="0">
  <x:tableColumns count="10">
    <x:tableColumn id="1" name="component_id"/>
    <x:tableColumn id="2" name="component_name"/>
    <x:tableColumn id="3" name="equal_domain_score"/>
    <x:tableColumn id="4" name="equal_domain_rank"/>
    <x:tableColumn id="5" name="monte_carlo_median_rank"/>
    <x:tableColumn id="6" name="rank_p2_5"/>
    <x:tableColumn id="7" name="rank_p97_5"/>
    <x:tableColumn id="8" name="probability_top_5"/>
    <x:tableColumn id="9" name="probability_top_3"/>
    <x:tableColumn id="10" name="weight_draw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ModelComparisonTable" displayName="ModelComparisonTable" ref="A4:S9" headerRowCount="1" totalsRowCount="0" totalsRowShown="0">
  <x:tableColumns count="19">
    <x:tableColumn id="1" name="model"/>
    <x:tableColumn id="2" name="inner_blocked_cv_macro_f1"/>
    <x:tableColumn id="3" name="outer_proxy_overall_agreement"/>
    <x:tableColumn id="4" name="outer_proxy_balanced_accuracy"/>
    <x:tableColumn id="5" name="outer_proxy_macro_f1"/>
    <x:tableColumn id="6" name="outer_proxy_log_loss"/>
    <x:tableColumn id="7" name="best_parameters"/>
    <x:tableColumn id="8" name="development_samples"/>
    <x:tableColumn id="9" name="outer_test_samples"/>
    <x:tableColumn id="10" name="development_blocks"/>
    <x:tableColumn id="11" name="outer_test_blocks"/>
    <x:tableColumn id="12" name="block_overlap"/>
    <x:tableColumn id="13" name="validation_role"/>
    <x:tableColumn id="14" name="outer_proxy_macro_f1_ci_low"/>
    <x:tableColumn id="15" name="outer_proxy_macro_f1_ci_high"/>
    <x:tableColumn id="16" name="bootstrap_probability_best"/>
    <x:tableColumn id="17" name="macro_f1_difference_vs_point_best_low"/>
    <x:tableColumn id="18" name="macro_f1_difference_vs_point_best_high"/>
    <x:tableColumn id="19" name="spatial_block_bootstrap_draw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AblationTable" displayName="AblationTable" ref="A4:D10" headerRowCount="1" totalsRowCount="0" totalsRowShown="0">
  <x:tableColumns count="4">
    <x:tableColumn id="1" name="ablation"/>
    <x:tableColumn id="2" name="spearman_rho_with_full"/>
    <x:tableColumn id="3" name="top5_overlap_with_full"/>
    <x:tableColumn id="4" name="rank_1_component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ScaleSensitivityTable" displayName="ScaleSensitivityTable" ref="A4:C13" headerRowCount="1" totalsRowCount="0" totalsRowShown="0">
  <x:tableColumns count="3">
    <x:tableColumn id="1" name="radius_a_m"/>
    <x:tableColumn id="2" name="radius_b_m"/>
    <x:tableColumn id="3" name="spearman_rank_correl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errainTable" displayName="TerrainTable" ref="A4:N55" headerRowCount="1" totalsRowCount="0" totalsRowShown="0">
  <x:tableColumns count="14">
    <x:tableColumn id="1" name="component_id"/>
    <x:tableColumn id="2" name="component_name"/>
    <x:tableColumn id="3" name="radius_m"/>
    <x:tableColumn id="4" name="terrain_cells"/>
    <x:tableColumn id="5" name="elevation_median_m"/>
    <x:tableColumn id="6" name="elevation_p10_m"/>
    <x:tableColumn id="7" name="elevation_p90_m"/>
    <x:tableColumn id="8" name="slope_median_deg"/>
    <x:tableColumn id="9" name="slope_p90_deg"/>
    <x:tableColumn id="10" name="tri_median_m"/>
    <x:tableColumn id="11" name="tpi500_median_m"/>
    <x:tableColumn id="12" name="flow_accumulation_p90_cells"/>
    <x:tableColumn id="13" name="twi_proxy_p90"/>
    <x:tableColumn id="14" name="drainage_distance_median_m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limateSpectralTable" displayName="ClimateSpectralTable" ref="A4:H11" headerRowCount="1" totalsRowCount="0" totalsRowShown="0">
  <x:tableColumns count="8">
    <x:tableColumn id="1" name="climate_metric"/>
    <x:tableColumn id="2" name="spectral_metric"/>
    <x:tableColumn id="3" name="spearman_rho_n5"/>
    <x:tableColumn id="4" name="expected_direction"/>
    <x:tableColumn id="5" name="loo_rho_min"/>
    <x:tableColumn id="6" name="loo_rho_max"/>
    <x:tableColumn id="7" name="loo_sign_stability"/>
    <x:tableColumn id="8" name="inference_statu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ValidationTable" displayName="ValidationTable" ref="A4:B10" headerRowCount="1" totalsRowCount="0" totalsRowShown="0">
  <x:tableColumns count="2">
    <x:tableColumn id="1" name="Metric"/>
    <x:tableColumn id="2" name="Valu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83f40426db45e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82928748af746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b87ef786856847ce" /><Relationship Type="http://schemas.openxmlformats.org/officeDocument/2006/relationships/table" Target="/xl/tables/table3.xml" Id="R92a121ef0231458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2.xml" Id="Ra94113685cb64bbc" /><Relationship Type="http://schemas.openxmlformats.org/officeDocument/2006/relationships/table" Target="/xl/tables/table4.xml" Id="R891ce730ea6348b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4e8fc35ea314f4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drawing" Target="/xl/drawings/drawing3.xml" Id="R60e0ec23b8c44cf9" /><Relationship Type="http://schemas.openxmlformats.org/officeDocument/2006/relationships/table" Target="/xl/tables/table6.xml" Id="Re1c401716da646f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4.xml" Id="Rc217a66ca3c34694" /><Relationship Type="http://schemas.openxmlformats.org/officeDocument/2006/relationships/table" Target="/xl/tables/table7.xml" Id="R33e7121313cb4fd8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drawing" Target="/xl/drawings/drawing5.xml" Id="R941a2f79ccc94dd0" /><Relationship Type="http://schemas.openxmlformats.org/officeDocument/2006/relationships/table" Target="/xl/tables/table8.xml" Id="R7ae70d71e4a0447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691f632bf1fb4ae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02b62731753744b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1ed330dbe8484a5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4b2f193d60b041a2" /></Relationships>
</file>

<file path=xl/worksheets/sheet1.xml><?xml version="1.0" encoding="utf-8"?>
<x:worksheet xmlns:x="http://schemas.openxmlformats.org/spreadsheetml/2006/main">
  <x:sheetFormatPr defaultRowHeight="15"/>
  <x:cols>
    <x:col min="1" max="1" width="44" hidden="0" customWidth="1"/>
    <x:col min="2" max="2" width="26" hidden="0" customWidth="1"/>
  </x:cols>
  <x:sheetData>
    <x:row r="1" ht="31" customHeight="1">
      <x:c r="A1" s="34" t="str">
        <x:v>Taxila PreserveX | Integrated Experiments</x:v>
      </x:c>
      <x:c r="B1" s="35"/>
    </x:row>
    <x:row r="2" ht="30" customHeight="1">
      <x:c r="A2" s="36" t="str">
        <x:v>Audited numerical companion to the standalone Experiments, Results and Discussion manuscript section</x:v>
      </x:c>
      <x:c r="B2" s="35"/>
    </x:row>
    <x:row r="3">
      <x:c r="A3" s="35"/>
      <x:c r="B3" s="35"/>
    </x:row>
    <x:row r="4">
      <x:c r="A4" s="37" t="str">
        <x:v>Headline result</x:v>
      </x:c>
      <x:c r="B4" s="37" t="str">
        <x:v>Formula-linked value</x:v>
      </x:c>
    </x:row>
    <x:row r="5">
      <x:c r="A5" s="38" t="str">
        <x:v>Endpoint common support</x:v>
      </x:c>
      <x:c r="B5" s="39" t="n">
        <x:f>'Endpoint Screen'!B6/100</x:f>
        <x:v>0.9573708734014077</x:v>
      </x:c>
    </x:row>
    <x:row r="6">
      <x:c r="A6" s="38" t="str">
        <x:v>Cells meeting ≥2 adverse spectral criteria</x:v>
      </x:c>
      <x:c r="B6" s="39" t="n">
        <x:f>'Endpoint Screen'!B12/100</x:f>
        <x:v>0.16928393911152534</x:v>
      </x:c>
    </x:row>
    <x:row r="7">
      <x:c r="A7" s="38" t="str">
        <x:v>Cells meeting all 3 adverse spectral criteria</x:v>
      </x:c>
      <x:c r="B7" s="39" t="n">
        <x:f>'Endpoint Screen'!B13/100</x:f>
        <x:v>0.014220254737496116</x:v>
      </x:c>
    </x:row>
    <x:row r="8">
      <x:c r="A8" s="38" t="str">
        <x:v>Highest 2024 climate-extreme score</x:v>
      </x:c>
      <x:c r="B8" s="40" t="n">
        <x:f>MAX('Climate Epochs'!AA5:AA9)</x:f>
        <x:v>0.5259259259259259</x:v>
      </x:c>
    </x:row>
    <x:row r="9">
      <x:c r="A9" s="38" t="str">
        <x:v>Top 500 m local-priority component</x:v>
      </x:c>
      <x:c r="B9" s="41" t="str">
        <x:f>'2024 Ranking'!A5</x:f>
        <x:v>Giri complex of monuments</x:v>
      </x:c>
    </x:row>
    <x:row r="10">
      <x:c r="A10" s="38" t="str">
        <x:v>Top component local-priority score</x:v>
      </x:c>
      <x:c r="B10" s="40" t="n">
        <x:f>'2024 Ranking'!G5</x:f>
        <x:v>0.5911764705882352</x:v>
      </x:c>
    </x:row>
    <x:row r="11">
      <x:c r="A11" s="38" t="str">
        <x:v>Best proxy-model macro-F1</x:v>
      </x:c>
      <x:c r="B11" s="40" t="n">
        <x:f>MAX('Model Comparison'!E5:E9)</x:f>
        <x:v>0.8870803659870798</x:v>
      </x:c>
    </x:row>
    <x:row r="12">
      <x:c r="A12" s="38" t="str">
        <x:v>Best proxy-model 95% block-bootstrap interval</x:v>
      </x:c>
      <x:c r="B12" s="41" t="str">
        <x:f>"["&amp;TEXT('Model Comparison'!N5,"0.000")&amp;", "&amp;TEXT('Model Comparison'!O5,"0.000")&amp;"]"</x:f>
        <x:v>[0.666, 0.906]</x:v>
      </x:c>
    </x:row>
    <x:row r="13">
      <x:c r="A13" s="38" t="str">
        <x:v>Validation gates passed</x:v>
      </x:c>
      <x:c r="B13" s="41" t="str">
        <x:f>'Validation'!B6&amp;"/"&amp;'Validation'!B7</x:f>
        <x:v>20/20</x:v>
      </x:c>
    </x:row>
    <x:row r="14">
      <x:c r="A14" s="35"/>
      <x:c r="B14" s="35"/>
    </x:row>
    <x:row r="15">
      <x:c r="A15" s="42" t="str">
        <x:v>Interpretation boundary: the integrated score is a relative field-inspection priority combining landscape pressure, terrain susceptibility and site-wide climate forcing. It is not a monument-damage probability or a validated complete-risk score. Model metrics are agreement with a WorldCover-consensus proxy under spatial blocking, not independent human accuracy.</x:v>
      </x:c>
      <x:c r="B15" s="35"/>
    </x:row>
  </x:sheetData>
  <x:mergeCells>
    <x:mergeCell ref="A1:N1"/>
    <x:mergeCell ref="A2:N2"/>
    <x:mergeCell ref="A15:N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</x:cols>
  <x:sheetData>
    <x:row r="1" ht="31" customHeight="1">
      <x:c r="A1" s="34" t="str">
        <x:v>Executed experiment matrix</x:v>
      </x:c>
      <x:c r="B1" s="35"/>
      <x:c r="C1" s="35"/>
      <x:c r="D1" s="35"/>
      <x:c r="E1" s="35"/>
    </x:row>
    <x:row r="2" ht="30" customHeight="1">
      <x:c r="A2" s="36" t="str">
        <x:v>Six prespecified experiment families and their permitted inference</x:v>
      </x:c>
      <x:c r="B2" s="35"/>
      <x:c r="C2" s="35"/>
      <x:c r="D2" s="35"/>
      <x:c r="E2" s="35"/>
    </x:row>
    <x:row r="3">
      <x:c r="A3" s="35"/>
      <x:c r="B3" s="35"/>
      <x:c r="C3" s="35"/>
      <x:c r="D3" s="35"/>
      <x:c r="E3" s="35"/>
    </x:row>
    <x:row r="4" ht="33" customHeight="1">
      <x:c r="A4" s="43" t="str">
        <x:v>Experiment</x:v>
      </x:c>
      <x:c r="B4" s="43" t="str">
        <x:v>Question</x:v>
      </x:c>
      <x:c r="C4" s="43" t="str">
        <x:v>Evidence</x:v>
      </x:c>
      <x:c r="D4" s="43" t="str">
        <x:v>Primary output</x:v>
      </x:c>
      <x:c r="E4" s="43" t="str">
        <x:v>Inference boundary</x:v>
      </x:c>
    </x:row>
    <x:row r="5" ht="15" hidden="0" customHeight="1">
      <x:c r="A5" s="44" t="str">
        <x:v>E1 Reproduction</x:v>
      </x:c>
      <x:c r="B5" s="44" t="str">
        <x:v>Does the revised pipeline reproduce the accepted endpoint screen?</x:v>
      </x:c>
      <x:c r="C5" s="44" t="str">
        <x:v>Five Landsat epochs; fixed 30 m grid</x:v>
      </x:c>
      <x:c r="D5" s="44" t="str">
        <x:v>Support and convergence statistics</x:v>
      </x:c>
      <x:c r="E5" s="44" t="str">
        <x:v>Descriptive spectral pressure only</x:v>
      </x:c>
    </x:row>
    <x:row r="6" ht="15" hidden="0" customHeight="1">
      <x:c r="A6" s="44" t="str">
        <x:v>E2 Matched climate</x:v>
      </x:c>
      <x:c r="B6" s="44" t="str">
        <x:v>How did wet, dry and heat forcing vary across satellite windows?</x:v>
      </x:c>
      <x:c r="C6" s="44" t="str">
        <x:v>NASA POWER daily, 1991–2025; three-year windows</x:v>
      </x:c>
      <x:c r="D6" s="44" t="str">
        <x:v>Eight anomaly indicators and climate score</x:v>
      </x:c>
      <x:c r="E6" s="44" t="str">
        <x:v>Site-wide temporal forcing; no 30 m rainfall mapping</x:v>
      </x:c>
    </x:row>
    <x:row r="7" ht="15" hidden="0" customHeight="1">
      <x:c r="A7" s="44" t="str">
        <x:v>E3 Terrain/hydrology</x:v>
      </x:c>
      <x:c r="B7" s="44" t="str">
        <x:v>Where does topography amplify runoff, wetness and erosion susceptibility?</x:v>
      </x:c>
      <x:c r="C7" s="44" t="str">
        <x:v>1 arc-second bare-earth terrain tile</x:v>
      </x:c>
      <x:c r="D7" s="44" t="str">
        <x:v>Slope, TWI proxy, high-flow distance</x:v>
      </x:c>
      <x:c r="E7" s="44" t="str">
        <x:v>Susceptibility screen; not hydraulic inundation</x:v>
      </x:c>
    </x:row>
    <x:row r="8" ht="15" hidden="0" customHeight="1">
      <x:c r="A8" s="44" t="str">
        <x:v>E4 Model comparison</x:v>
      </x:c>
      <x:c r="B8" s="44" t="str">
        <x:v>Does model complexity materially improve proxy land-cover discrimination?</x:v>
      </x:c>
      <x:c r="C8" s="44" t="str">
        <x:v>20,749 consensus samples; 100 spatial blocks</x:v>
      </x:c>
      <x:c r="D8" s="44" t="str">
        <x:v>Blocked outer-test scores and 2,000 block bootstraps</x:v>
      </x:c>
      <x:c r="E8" s="44" t="str">
        <x:v>Proxy agreement; not independent accuracy</x:v>
      </x:c>
    </x:row>
    <x:row r="9" ht="15" hidden="0" customHeight="1">
      <x:c r="A9" s="44" t="str">
        <x:v>E5 Integrated priority</x:v>
      </x:c>
      <x:c r="B9" s="44" t="str">
        <x:v>Which components combine dynamic landscape pressure and terrain susceptibility?</x:v>
      </x:c>
      <x:c r="C9" s="44" t="str">
        <x:v>Component summaries at 250/500/1,000 m</x:v>
      </x:c>
      <x:c r="D9" s="44" t="str">
        <x:v>Relative integrated and local-priority scores</x:v>
      </x:c>
      <x:c r="E9" s="44" t="str">
        <x:v>Prioritisation, not damage probability</x:v>
      </x:c>
    </x:row>
    <x:row r="10" ht="15" hidden="0" customHeight="1">
      <x:c r="A10" s="44" t="str">
        <x:v>E6 Robustness</x:v>
      </x:c>
      <x:c r="B10" s="44" t="str">
        <x:v>Are component positions stable to scale, weights and factor removal?</x:v>
      </x:c>
      <x:c r="C10" s="44" t="str">
        <x:v>50,000 weight draws; scale and ablation tests</x:v>
      </x:c>
      <x:c r="D10" s="44" t="str">
        <x:v>Rank intervals, top-5 probability, Spearman ρ</x:v>
      </x:c>
      <x:c r="E10" s="44" t="str">
        <x:v>Unstable ranks must not be treated as definitive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683f40426db45eb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</x:cols>
  <x:sheetData>
    <x:row r="1" ht="31" customHeight="1">
      <x:c r="A1" s="34" t="str">
        <x:v>Endpoint spectral-screen reproduction</x:v>
      </x:c>
      <x:c r="B1" s="35"/>
    </x:row>
    <x:row r="2" ht="30" customHeight="1">
      <x:c r="A2" s="36" t="str">
        <x:v>Exact reproduction of the accepted 2004–2024 common-support analysis</x:v>
      </x:c>
      <x:c r="B2" s="35"/>
    </x:row>
    <x:row r="3">
      <x:c r="A3" s="35"/>
      <x:c r="B3" s="35"/>
    </x:row>
    <x:row r="4" ht="33" customHeight="1">
      <x:c r="A4" s="43" t="str">
        <x:v>Metric</x:v>
      </x:c>
      <x:c r="B4" s="43" t="str">
        <x:v>Value</x:v>
      </x:c>
    </x:row>
    <x:row r="5" ht="15" hidden="0" customHeight="1">
      <x:c r="A5" s="44" t="str">
        <x:v>Endpoint supported cells</x:v>
      </x:c>
      <x:c r="B5" s="45" t="n">
        <x:v>386280</x:v>
      </x:c>
    </x:row>
    <x:row r="6" ht="15" hidden="0" customHeight="1">
      <x:c r="A6" s="44" t="str">
        <x:v>Endpoint supported percent</x:v>
      </x:c>
      <x:c r="B6" s="45" t="n">
        <x:v>95.73708734014077</x:v>
      </x:c>
    </x:row>
    <x:row r="7" ht="15" hidden="0" customHeight="1">
      <x:c r="A7" s="44" t="str">
        <x:v>NDVI adverse threshold (q20)</x:v>
      </x:c>
      <x:c r="B7" s="45" t="n">
        <x:v>-0.005434888415038586</x:v>
      </x:c>
    </x:row>
    <x:row r="8" ht="15" hidden="0" customHeight="1">
      <x:c r="A8" s="44" t="str">
        <x:v>MNDWI adverse threshold (q20)</x:v>
      </x:c>
      <x:c r="B8" s="45" t="n">
        <x:v>-0.037427619099617004</x:v>
      </x:c>
    </x:row>
    <x:row r="9" ht="15" hidden="0" customHeight="1">
      <x:c r="A9" s="44" t="str">
        <x:v>NDBI adverse threshold (q80)</x:v>
      </x:c>
      <x:c r="B9" s="45" t="n">
        <x:v>0.008348563686013222</x:v>
      </x:c>
    </x:row>
    <x:row r="10" ht="15" hidden="0" customHeight="1">
      <x:c r="A10" s="44" t="str">
        <x:v>Cells with 0 criteria</x:v>
      </x:c>
      <x:c r="B10" s="45" t="n">
        <x:v>225396</x:v>
      </x:c>
    </x:row>
    <x:row r="11" ht="15" hidden="0" customHeight="1">
      <x:c r="A11" s="44" t="str">
        <x:v>Cells with 1 criterion</x:v>
      </x:c>
      <x:c r="B11" s="45" t="n">
        <x:v>95493</x:v>
      </x:c>
    </x:row>
    <x:row r="12" ht="15" hidden="0" customHeight="1">
      <x:c r="A12" s="44" t="str">
        <x:v>Share with ≥2 criteria (%)</x:v>
      </x:c>
      <x:c r="B12" s="45" t="n">
        <x:v>16.928393911152533</x:v>
      </x:c>
    </x:row>
    <x:row r="13" ht="15" hidden="0" customHeight="1">
      <x:c r="A13" s="44" t="str">
        <x:v>Share with all 3 criteria (%)</x:v>
      </x:c>
      <x:c r="B13" s="45" t="n">
        <x:v>1.4220254737496116</x:v>
      </x:c>
    </x:row>
    <x:row r="14" ht="15" hidden="0" customHeight="1">
      <x:c r="A14" s="44" t="str">
        <x:v>Median ΔNDVI</x:v>
      </x:c>
      <x:c r="B14" s="45" t="n">
        <x:v>0.07835812866687775</x:v>
      </x:c>
    </x:row>
    <x:row r="15" ht="15" hidden="0" customHeight="1">
      <x:c r="A15" s="44" t="str">
        <x:v>Median ΔMNDWI</x:v>
      </x:c>
      <x:c r="B15" s="45" t="n">
        <x:v>-0.0070809125900268555</x:v>
      </x:c>
    </x:row>
    <x:row r="16" ht="15" hidden="0" customHeight="1">
      <x:c r="A16" s="44" t="str">
        <x:v>Median ΔNDBI</x:v>
      </x:c>
      <x:c r="B16" s="45" t="n">
        <x:v>-0.04649501293897629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82928748af746d4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</x:cols>
  <x:sheetData>
    <x:row r="1" ht="31" customHeight="1">
      <x:c r="A1" s="34" t="str">
        <x:v>Matched three-year climate windows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  <x:c r="AB1" s="35"/>
      <x:c r="AC1" s="35"/>
      <x:c r="AD1" s="35"/>
      <x:c r="AE1" s="35"/>
      <x:c r="AF1" s="35"/>
      <x:c r="AG1" s="35"/>
      <x:c r="AH1" s="35"/>
      <x:c r="AI1" s="35"/>
    </x:row>
    <x:row r="2" ht="30" customHeight="1">
      <x:c r="A2" s="36" t="str">
        <x:v>NASA POWER daily weather summarised for the same five satellite epochs; 1991–2020 baseline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  <x:c r="AA2" s="35"/>
      <x:c r="AB2" s="35"/>
      <x:c r="AC2" s="35"/>
      <x:c r="AD2" s="35"/>
      <x:c r="AE2" s="35"/>
      <x:c r="AF2" s="35"/>
      <x:c r="AG2" s="35"/>
      <x:c r="AH2" s="35"/>
      <x:c r="AI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  <x:c r="AA3" s="35"/>
      <x:c r="AB3" s="35"/>
      <x:c r="AC3" s="35"/>
      <x:c r="AD3" s="35"/>
      <x:c r="AE3" s="35"/>
      <x:c r="AF3" s="35"/>
      <x:c r="AG3" s="35"/>
      <x:c r="AH3" s="35"/>
      <x:c r="AI3" s="35"/>
    </x:row>
    <x:row r="4" ht="33" customHeight="1">
      <x:c r="A4" s="43" t="str">
        <x:v>epoch_id</x:v>
      </x:c>
      <x:c r="B4" s="43" t="str">
        <x:v>label_year</x:v>
      </x:c>
      <x:c r="C4" s="43" t="str">
        <x:v>years</x:v>
      </x:c>
      <x:c r="D4" s="43" t="str">
        <x:v>annual_rainfall_mm</x:v>
      </x:c>
      <x:c r="E4" s="43" t="str">
        <x:v>monsoon_rainfall_mm</x:v>
      </x:c>
      <x:c r="F4" s="43" t="str">
        <x:v>rx1day_mm</x:v>
      </x:c>
      <x:c r="G4" s="43" t="str">
        <x:v>rx5day_mm</x:v>
      </x:c>
      <x:c r="H4" s="43" t="str">
        <x:v>r95p_days</x:v>
      </x:c>
      <x:c r="I4" s="43" t="str">
        <x:v>cwd_days</x:v>
      </x:c>
      <x:c r="J4" s="43" t="str">
        <x:v>cdd_days</x:v>
      </x:c>
      <x:c r="K4" s="43" t="str">
        <x:v>pre30_rainfall_mm</x:v>
      </x:c>
      <x:c r="L4" s="43" t="str">
        <x:v>pre90_rainfall_mm</x:v>
      </x:c>
      <x:c r="M4" s="43" t="str">
        <x:v>mean_tmax_c</x:v>
      </x:c>
      <x:c r="N4" s="43" t="str">
        <x:v>annual_max_tmax_c</x:v>
      </x:c>
      <x:c r="O4" s="43" t="str">
        <x:v>tx95_days</x:v>
      </x:c>
      <x:c r="P4" s="43" t="str">
        <x:v>heatwave_max_days</x:v>
      </x:c>
      <x:c r="Q4" s="43" t="str">
        <x:v>mean_dtr_c</x:v>
      </x:c>
      <x:c r="R4" s="43" t="str">
        <x:v>high_dtr_days</x:v>
      </x:c>
      <x:c r="S4" s="43" t="str">
        <x:v>mean_rh_percent</x:v>
      </x:c>
      <x:c r="T4" s="43" t="str">
        <x:v>strong_wind_days</x:v>
      </x:c>
      <x:c r="U4" s="43" t="str">
        <x:v>rx5day_mm_percentile</x:v>
      </x:c>
      <x:c r="V4" s="43" t="str">
        <x:v>r95p_days_percentile</x:v>
      </x:c>
      <x:c r="W4" s="43" t="str">
        <x:v>cdd_days_percentile</x:v>
      </x:c>
      <x:c r="X4" s="43" t="str">
        <x:v>tx95_days_percentile</x:v>
      </x:c>
      <x:c r="Y4" s="43" t="str">
        <x:v>heatwave_max_days_percentile</x:v>
      </x:c>
      <x:c r="Z4" s="43" t="str">
        <x:v>high_dtr_days_percentile</x:v>
      </x:c>
      <x:c r="AA4" s="43" t="str">
        <x:v>climate_extreme_score</x:v>
      </x:c>
      <x:c r="AB4" s="43" t="str">
        <x:v>monsoon_rainfall_mm_z</x:v>
      </x:c>
      <x:c r="AC4" s="43" t="str">
        <x:v>rx5day_mm_z</x:v>
      </x:c>
      <x:c r="AD4" s="43" t="str">
        <x:v>r95p_days_z</x:v>
      </x:c>
      <x:c r="AE4" s="43" t="str">
        <x:v>cdd_days_z</x:v>
      </x:c>
      <x:c r="AF4" s="43" t="str">
        <x:v>annual_max_tmax_c_z</x:v>
      </x:c>
      <x:c r="AG4" s="43" t="str">
        <x:v>tx95_days_z</x:v>
      </x:c>
      <x:c r="AH4" s="43" t="str">
        <x:v>heatwave_max_days_z</x:v>
      </x:c>
      <x:c r="AI4" s="43" t="str">
        <x:v>mean_dtr_c_z</x:v>
      </x:c>
    </x:row>
    <x:row r="5" ht="15" hidden="0" customHeight="1">
      <x:c r="A5" s="44" t="str">
        <x:v>E2004</x:v>
      </x:c>
      <x:c r="B5" s="44" t="n">
        <x:v>2004</x:v>
      </x:c>
      <x:c r="C5" s="44" t="str">
        <x:v>2003,2004,2005</x:v>
      </x:c>
      <x:c r="D5" s="46" t="n">
        <x:v>703.4133333333333</x:v>
      </x:c>
      <x:c r="E5" s="46" t="n">
        <x:v>372.6033333333333</x:v>
      </x:c>
      <x:c r="F5" s="46" t="n">
        <x:v>54.22666666666667</x:v>
      </x:c>
      <x:c r="G5" s="46" t="n">
        <x:v>83.06666666666668</x:v>
      </x:c>
      <x:c r="H5" s="46" t="n">
        <x:v>2.6666666666666665</x:v>
      </x:c>
      <x:c r="I5" s="46" t="n">
        <x:v>8</x:v>
      </x:c>
      <x:c r="J5" s="46" t="n">
        <x:v>38.666666666666664</x:v>
      </x:c>
      <x:c r="K5" s="46" t="n">
        <x:v>66.59666666666666</x:v>
      </x:c>
      <x:c r="L5" s="46" t="n">
        <x:v>357.71999999999997</x:v>
      </x:c>
      <x:c r="M5" s="46" t="n">
        <x:v>30.230989719789406</x:v>
      </x:c>
      <x:c r="N5" s="46" t="n">
        <x:v>46.14666666666667</x:v>
      </x:c>
      <x:c r="O5" s="46" t="n">
        <x:v>18</x:v>
      </x:c>
      <x:c r="P5" s="46" t="n">
        <x:v>11</x:v>
      </x:c>
      <x:c r="Q5" s="46" t="n">
        <x:v>13.199705267360331</x:v>
      </x:c>
      <x:c r="R5" s="46" t="n">
        <x:v>18</x:v>
      </x:c>
      <x:c r="S5" s="46" t="n">
        <x:v>43.388973376250725</x:v>
      </x:c>
      <x:c r="T5" s="46" t="n">
        <x:v>16</x:v>
      </x:c>
      <x:c r="U5" s="46" t="n">
        <x:v>0.36111111111111116</x:v>
      </x:c>
      <x:c r="V5" s="46" t="n">
        <x:v>0.39444444444444443</x:v>
      </x:c>
      <x:c r="W5" s="46" t="n">
        <x:v>0.4611111111111111</x:v>
      </x:c>
      <x:c r="X5" s="46" t="n">
        <x:v>0.5499999999999999</x:v>
      </x:c>
      <x:c r="Y5" s="46" t="n">
        <x:v>0.8055555555555555</x:v>
      </x:c>
      <x:c r="Z5" s="46" t="n">
        <x:v>0.5277777777777778</x:v>
      </x:c>
      <x:c r="AA5" s="46" t="n">
        <x:v>0.5166666666666666</x:v>
      </x:c>
      <x:c r="AB5" s="46" t="n">
        <x:v>-0.426253688429393</x:v>
      </x:c>
      <x:c r="AC5" s="46" t="n">
        <x:v>-0.382652423291884</x:v>
      </x:c>
      <x:c r="AD5" s="46" t="n">
        <x:v>-0.39814111749322073</x:v>
      </x:c>
      <x:c r="AE5" s="46" t="n">
        <x:v>-0.2551780736896648</x:v>
      </x:c>
      <x:c r="AF5" s="46" t="n">
        <x:v>0.17418981241847897</x:v>
      </x:c>
      <x:c r="AG5" s="46" t="n">
        <x:v>-0.0238222751850098</x:v>
      </x:c>
      <x:c r="AH5" s="46" t="n">
        <x:v>0.8942671527334634</x:v>
      </x:c>
      <x:c r="AI5" s="46" t="n">
        <x:v>0.08554208171077321</x:v>
      </x:c>
    </x:row>
    <x:row r="6" ht="15" hidden="0" customHeight="1">
      <x:c r="A6" s="44" t="str">
        <x:v>E2009</x:v>
      </x:c>
      <x:c r="B6" s="44" t="n">
        <x:v>2009</x:v>
      </x:c>
      <x:c r="C6" s="44" t="str">
        <x:v>2008,2009,2010</x:v>
      </x:c>
      <x:c r="D6" s="46" t="n">
        <x:v>874.5600000000001</x:v>
      </x:c>
      <x:c r="E6" s="46" t="n">
        <x:v>450.9433333333333</x:v>
      </x:c>
      <x:c r="F6" s="46" t="n">
        <x:v>69.74666666666667</x:v>
      </x:c>
      <x:c r="G6" s="46" t="n">
        <x:v>122.56</x:v>
      </x:c>
      <x:c r="H6" s="46" t="n">
        <x:v>4.333333333333333</x:v>
      </x:c>
      <x:c r="I6" s="46" t="n">
        <x:v>10.333333333333334</x:v>
      </x:c>
      <x:c r="J6" s="46" t="n">
        <x:v>44.666666666666664</x:v>
      </x:c>
      <x:c r="K6" s="46" t="n">
        <x:v>56.20666666666667</x:v>
      </x:c>
      <x:c r="L6" s="46" t="n">
        <x:v>447.36000000000007</x:v>
      </x:c>
      <x:c r="M6" s="46" t="n">
        <x:v>29.942309304588665</x:v>
      </x:c>
      <x:c r="N6" s="46" t="n">
        <x:v>45.24333333333334</x:v>
      </x:c>
      <x:c r="O6" s="46" t="n">
        <x:v>9.666666666666666</x:v>
      </x:c>
      <x:c r="P6" s="46" t="n">
        <x:v>4.333333333333333</x:v>
      </x:c>
      <x:c r="Q6" s="46" t="n">
        <x:v>12.898525563290667</x:v>
      </x:c>
      <x:c r="R6" s="46" t="n">
        <x:v>13</x:v>
      </x:c>
      <x:c r="S6" s="46" t="n">
        <x:v>46.11910479826334</x:v>
      </x:c>
      <x:c r="T6" s="46" t="n">
        <x:v>13.333333333333334</x:v>
      </x:c>
      <x:c r="U6" s="46" t="n">
        <x:v>0.6166666666666667</x:v>
      </x:c>
      <x:c r="V6" s="46" t="n">
        <x:v>0.5555555555555555</x:v>
      </x:c>
      <x:c r="W6" s="46" t="n">
        <x:v>0.5833333333333334</x:v>
      </x:c>
      <x:c r="X6" s="46" t="n">
        <x:v>0.3055555555555555</x:v>
      </x:c>
      <x:c r="Y6" s="46" t="n">
        <x:v>0.26666666666666666</x:v>
      </x:c>
      <x:c r="Z6" s="46" t="n">
        <x:v>0.4444444444444444</x:v>
      </x:c>
      <x:c r="AA6" s="46" t="n">
        <x:v>0.462037037037037</x:v>
      </x:c>
      <x:c r="AB6" s="46" t="n">
        <x:v>-0.00895604340691616</x:v>
      </x:c>
      <x:c r="AC6" s="46" t="n">
        <x:v>0.05635000826383734</x:v>
      </x:c>
      <x:c r="AD6" s="46" t="n">
        <x:v>-0.04265797687427369</x:v>
      </x:c>
      <x:c r="AE6" s="46" t="n">
        <x:v>0.1701187157931097</x:v>
      </x:c>
      <x:c r="AF6" s="46" t="n">
        <x:v>-0.3055402604007201</x:v>
      </x:c>
      <x:c r="AG6" s="46" t="n">
        <x:v>-0.7682683747165687</x:v>
      </x:c>
      <x:c r="AH6" s="46" t="n">
        <x:v>-0.8591978526262686</x:v>
      </x:c>
      <x:c r="AI6" s="46" t="n">
        <x:v>-0.18902719593473355</x:v>
      </x:c>
    </x:row>
    <x:row r="7" ht="15" hidden="0" customHeight="1">
      <x:c r="A7" s="44" t="str">
        <x:v>E2014</x:v>
      </x:c>
      <x:c r="B7" s="44" t="n">
        <x:v>2014</x:v>
      </x:c>
      <x:c r="C7" s="44" t="str">
        <x:v>2013,2014,2015</x:v>
      </x:c>
      <x:c r="D7" s="46" t="n">
        <x:v>1002.4033333333333</x:v>
      </x:c>
      <x:c r="E7" s="46" t="n">
        <x:v>546.38</x:v>
      </x:c>
      <x:c r="F7" s="46" t="n">
        <x:v>61.673333333333325</x:v>
      </x:c>
      <x:c r="G7" s="46" t="n">
        <x:v>126.64333333333333</x:v>
      </x:c>
      <x:c r="H7" s="46" t="n">
        <x:v>6.333333333333333</x:v>
      </x:c>
      <x:c r="I7" s="46" t="n">
        <x:v>8.333333333333334</x:v>
      </x:c>
      <x:c r="J7" s="46" t="n">
        <x:v>41</x:v>
      </x:c>
      <x:c r="K7" s="46" t="n">
        <x:v>127.53333333333332</x:v>
      </x:c>
      <x:c r="L7" s="46" t="n">
        <x:v>538.6033333333334</x:v>
      </x:c>
      <x:c r="M7" s="46" t="n">
        <x:v>28.862246575342468</x:v>
      </x:c>
      <x:c r="N7" s="46" t="n">
        <x:v>45.373333333333335</x:v>
      </x:c>
      <x:c r="O7" s="46" t="n">
        <x:v>11.666666666666666</x:v>
      </x:c>
      <x:c r="P7" s="46" t="n">
        <x:v>7.333333333333333</x:v>
      </x:c>
      <x:c r="Q7" s="46" t="n">
        <x:v>12.150319634703196</x:v>
      </x:c>
      <x:c r="R7" s="46" t="n">
        <x:v>5.333333333333333</x:v>
      </x:c>
      <x:c r="S7" s="46" t="n">
        <x:v>50.27833789954338</x:v>
      </x:c>
      <x:c r="T7" s="46" t="n">
        <x:v>16.666666666666668</x:v>
      </x:c>
      <x:c r="U7" s="46" t="n">
        <x:v>0.6722222222222222</x:v>
      </x:c>
      <x:c r="V7" s="46" t="n">
        <x:v>0.7388888888888889</x:v>
      </x:c>
      <x:c r="W7" s="46" t="n">
        <x:v>0.48888888888888893</x:v>
      </x:c>
      <x:c r="X7" s="46" t="n">
        <x:v>0.37777777777777777</x:v>
      </x:c>
      <x:c r="Y7" s="46" t="n">
        <x:v>0.4666666666666666</x:v>
      </x:c>
      <x:c r="Z7" s="46" t="n">
        <x:v>0.16111111111111112</x:v>
      </x:c>
      <x:c r="AA7" s="46" t="n">
        <x:v>0.4842592592592592</x:v>
      </x:c>
      <x:c r="AB7" s="46" t="n">
        <x:v>0.49941128169896964</x:v>
      </x:c>
      <x:c r="AC7" s="46" t="n">
        <x:v>0.1017397768877197</x:v>
      </x:c>
      <x:c r="AD7" s="46" t="n">
        <x:v>0.3839217918684628</x:v>
      </x:c>
      <x:c r="AE7" s="46" t="n">
        <x:v>-0.08978487777969676</x:v>
      </x:c>
      <x:c r="AF7" s="46" t="n">
        <x:v>-0.23650161523485957</x:v>
      </x:c>
      <x:c r="AG7" s="46" t="n">
        <x:v>-0.5896013108289946</x:v>
      </x:c>
      <x:c r="AH7" s="46" t="n">
        <x:v>-0.07013860021438925</x:v>
      </x:c>
      <x:c r="AI7" s="46" t="n">
        <x:v>-0.8711261506997249</x:v>
      </x:c>
    </x:row>
    <x:row r="8" ht="15" hidden="0" customHeight="1">
      <x:c r="A8" s="44" t="str">
        <x:v>E2019</x:v>
      </x:c>
      <x:c r="B8" s="44" t="n">
        <x:v>2019</x:v>
      </x:c>
      <x:c r="C8" s="44" t="str">
        <x:v>2018,2019,2020</x:v>
      </x:c>
      <x:c r="D8" s="46" t="n">
        <x:v>1918.4833333333333</x:v>
      </x:c>
      <x:c r="E8" s="46" t="n">
        <x:v>585.04</x:v>
      </x:c>
      <x:c r="F8" s="46" t="n">
        <x:v>182.08</x:v>
      </x:c>
      <x:c r="G8" s="46" t="n">
        <x:v>237.04666666666665</x:v>
      </x:c>
      <x:c r="H8" s="46" t="n">
        <x:v>9.333333333333334</x:v>
      </x:c>
      <x:c r="I8" s="46" t="n">
        <x:v>15.666666666666666</x:v>
      </x:c>
      <x:c r="J8" s="46" t="n">
        <x:v>24.666666666666668</x:v>
      </x:c>
      <x:c r="K8" s="46" t="n">
        <x:v>90.23</x:v>
      </x:c>
      <x:c r="L8" s="46" t="n">
        <x:v>581.6866666666667</x:v>
      </x:c>
      <x:c r="M8" s="46" t="n">
        <x:v>27.87859398158545</x:v>
      </x:c>
      <x:c r="N8" s="46" t="n">
        <x:v>42.98666666666667</x:v>
      </x:c>
      <x:c r="O8" s="46" t="n">
        <x:v>7.666666666666667</x:v>
      </x:c>
      <x:c r="P8" s="46" t="n">
        <x:v>3.3333333333333335</x:v>
      </x:c>
      <x:c r="Q8" s="46" t="n">
        <x:v>11.532635027571922</x:v>
      </x:c>
      <x:c r="R8" s="46" t="n">
        <x:v>8</x:v>
      </x:c>
      <x:c r="S8" s="46" t="n">
        <x:v>57.10480245527359</x:v>
      </x:c>
      <x:c r="T8" s="46" t="n">
        <x:v>13.666666666666666</x:v>
      </x:c>
      <x:c r="U8" s="46" t="n">
        <x:v>0.561111111111111</x:v>
      </x:c>
      <x:c r="V8" s="46" t="n">
        <x:v>0.5833333333333334</x:v>
      </x:c>
      <x:c r="W8" s="46" t="n">
        <x:v>0.10555555555555556</x:v>
      </x:c>
      <x:c r="X8" s="46" t="n">
        <x:v>0.19999999999999998</x:v>
      </x:c>
      <x:c r="Y8" s="46" t="n">
        <x:v>0.1722222222222222</x:v>
      </x:c>
      <x:c r="Z8" s="46" t="n">
        <x:v>0.2611111111111111</x:v>
      </x:c>
      <x:c r="AA8" s="46" t="n">
        <x:v>0.3138888888888889</x:v>
      </x:c>
      <x:c r="AB8" s="46" t="n">
        <x:v>0.7053434613845573</x:v>
      </x:c>
      <x:c r="AC8" s="46" t="n">
        <x:v>1.3289679618604617</x:v>
      </x:c>
      <x:c r="AD8" s="46" t="n">
        <x:v>1.0237914449825678</x:v>
      </x:c>
      <x:c r="AE8" s="46" t="n">
        <x:v>-1.2475372491494716</x:v>
      </x:c>
      <x:c r="AF8" s="46" t="n">
        <x:v>-1.5039803316132643</x:v>
      </x:c>
      <x:c r="AG8" s="46" t="n">
        <x:v>-0.9469354386041428</x:v>
      </x:c>
      <x:c r="AH8" s="46" t="n">
        <x:v>-1.122217603430228</x:v>
      </x:c>
      <x:c r="AI8" s="46" t="n">
        <x:v>-1.4342358626129617</x:v>
      </x:c>
    </x:row>
    <x:row r="9" ht="15" hidden="0" customHeight="1">
      <x:c r="A9" s="44" t="str">
        <x:v>E2024</x:v>
      </x:c>
      <x:c r="B9" s="44" t="n">
        <x:v>2024</x:v>
      </x:c>
      <x:c r="C9" s="44" t="str">
        <x:v>2023,2024,2025</x:v>
      </x:c>
      <x:c r="D9" s="46" t="n">
        <x:v>1581.5366666666666</x:v>
      </x:c>
      <x:c r="E9" s="46" t="n">
        <x:v>1023.5866666666667</x:v>
      </x:c>
      <x:c r="F9" s="46" t="n">
        <x:v>162.48666666666665</x:v>
      </x:c>
      <x:c r="G9" s="46" t="n">
        <x:v>231.57999999999996</x:v>
      </x:c>
      <x:c r="H9" s="46" t="n">
        <x:v>10</x:v>
      </x:c>
      <x:c r="I9" s="46" t="n">
        <x:v>18</x:v>
      </x:c>
      <x:c r="J9" s="46" t="n">
        <x:v>39.333333333333336</x:v>
      </x:c>
      <x:c r="K9" s="46" t="n">
        <x:v>107.21333333333332</x:v>
      </x:c>
      <x:c r="L9" s="46" t="n">
        <x:v>1006.4733333333334</x:v>
      </x:c>
      <x:c r="M9" s="46" t="n">
        <x:v>28.179161239613745</x:v>
      </x:c>
      <x:c r="N9" s="46" t="n">
        <x:v>45.01666666666667</x:v>
      </x:c>
      <x:c r="O9" s="46" t="n">
        <x:v>9</x:v>
      </x:c>
      <x:c r="P9" s="46" t="n">
        <x:v>5</x:v>
      </x:c>
      <x:c r="Q9" s="46" t="n">
        <x:v>11.16076682386406</x:v>
      </x:c>
      <x:c r="R9" s="46" t="n">
        <x:v>9.333333333333334</x:v>
      </x:c>
      <x:c r="S9" s="46" t="n">
        <x:v>59.01001479651671</x:v>
      </x:c>
      <x:c r="T9" s="46" t="n">
        <x:v>11</x:v>
      </x:c>
      <x:c r="U9" s="46" t="n">
        <x:v>0.9</x:v>
      </x:c>
      <x:c r="V9" s="46" t="n">
        <x:v>0.9</x:v>
      </x:c>
      <x:c r="W9" s="46" t="n">
        <x:v>0.4777777777777778</x:v>
      </x:c>
      <x:c r="X9" s="46" t="n">
        <x:v>0.2722222222222222</x:v>
      </x:c>
      <x:c r="Y9" s="46" t="n">
        <x:v>0.3</x:v>
      </x:c>
      <x:c r="Z9" s="46" t="n">
        <x:v>0.3055555555555555</x:v>
      </x:c>
      <x:c r="AA9" s="46" t="n">
        <x:v>0.5259259259259259</x:v>
      </x:c>
      <x:c r="AB9" s="46" t="n">
        <x:v>3.0413721980766315</x:v>
      </x:c>
      <x:c r="AC9" s="46" t="n">
        <x:v>1.2682012512129779</x:v>
      </x:c>
      <x:c r="AD9" s="46" t="n">
        <x:v>1.1659847012301465</x:v>
      </x:c>
      <x:c r="AE9" s="46" t="n">
        <x:v>-0.20792287485824507</x:v>
      </x:c>
      <x:c r="AF9" s="46" t="n">
        <x:v>-0.42591533402325027</x:v>
      </x:c>
      <x:c r="AG9" s="46" t="n">
        <x:v>-0.8278240626790935</x:v>
      </x:c>
      <x:c r="AH9" s="46" t="n">
        <x:v>-0.6838513520902954</x:v>
      </x:c>
      <x:c r="AI9" s="46" t="n">
        <x:v>-1.7732480294081812</x:v>
      </x:c>
    </x:row>
  </x:sheetData>
  <x:mergeCells>
    <x:mergeCell ref="A1:AI1"/>
    <x:mergeCell ref="A2:AI2"/>
  </x:mergeCells>
  <x:pageMargins left="0.7" right="0.7" top="0.75" bottom="0.75" header="0.3" footer="0.3"/>
  <x:drawing xmlns:r="http://schemas.openxmlformats.org/officeDocument/2006/relationships" r:id="Rb87ef786856847ce"/>
  <x:tableParts count="1">
    <x:tablePart xmlns:r="http://schemas.openxmlformats.org/officeDocument/2006/relationships" r:id="R92a121ef0231458c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31" customHeight="1">
      <x:c r="A1" s="34" t="str">
        <x:v>2024 integrated component screen at 500 m</x:v>
      </x:c>
      <x:c r="B1" s="35"/>
      <x:c r="C1" s="35"/>
      <x:c r="D1" s="35"/>
      <x:c r="E1" s="35"/>
      <x:c r="F1" s="35"/>
      <x:c r="G1" s="35"/>
    </x:row>
    <x:row r="2" ht="30" customHeight="1">
      <x:c r="A2" s="36" t="str">
        <x:v>Sorted by local-priority score (landscape pressure + terrain susceptibility); climate is site-wide within the epoch</x:v>
      </x:c>
      <x:c r="B2" s="35"/>
      <x:c r="C2" s="35"/>
      <x:c r="D2" s="35"/>
      <x:c r="E2" s="35"/>
      <x:c r="F2" s="35"/>
      <x:c r="G2" s="35"/>
    </x:row>
    <x:row r="3">
      <x:c r="A3" s="35"/>
      <x:c r="B3" s="35"/>
      <x:c r="C3" s="35"/>
      <x:c r="D3" s="35"/>
      <x:c r="E3" s="35"/>
      <x:c r="F3" s="35"/>
      <x:c r="G3" s="35"/>
    </x:row>
    <x:row r="4" ht="33" customHeight="1">
      <x:c r="A4" s="43" t="str">
        <x:v>component_name</x:v>
      </x:c>
      <x:c r="B4" s="43" t="str">
        <x:v>component_id</x:v>
      </x:c>
      <x:c r="C4" s="43" t="str">
        <x:v>landscape_pressure_score</x:v>
      </x:c>
      <x:c r="D4" s="43" t="str">
        <x:v>terrain_susceptibility_score</x:v>
      </x:c>
      <x:c r="E4" s="43" t="str">
        <x:v>climate_extreme_score</x:v>
      </x:c>
      <x:c r="F4" s="43" t="str">
        <x:v>integrated_exposure_score</x:v>
      </x:c>
      <x:c r="G4" s="43" t="str">
        <x:v>local_priority_score</x:v>
      </x:c>
    </x:row>
    <x:row r="5" ht="15" hidden="0" customHeight="1">
      <x:c r="A5" s="44" t="str">
        <x:v>Giri complex of monuments</x:v>
      </x:c>
      <x:c r="B5" s="44" t="str">
        <x:v>139-009</x:v>
      </x:c>
      <x:c r="C5" s="45" t="n">
        <x:v>0.5058823529411764</x:v>
      </x:c>
      <x:c r="D5" s="45" t="n">
        <x:v>0.676470588235294</x:v>
      </x:c>
      <x:c r="E5" s="45" t="n">
        <x:v>0.5259259259259259</x:v>
      </x:c>
      <x:c r="F5" s="45" t="n">
        <x:v>0.5694262890341321</x:v>
      </x:c>
      <x:c r="G5" s="45" t="n">
        <x:v>0.5911764705882352</x:v>
      </x:c>
    </x:row>
    <x:row r="6" ht="15" hidden="0" customHeight="1">
      <x:c r="A6" s="44" t="str">
        <x:v>Giri Mosque and tombs</x:v>
      </x:c>
      <x:c r="B6" s="44" t="str">
        <x:v>139-018</x:v>
      </x:c>
      <x:c r="C6" s="45" t="n">
        <x:v>0.48823529411764705</x:v>
      </x:c>
      <x:c r="D6" s="45" t="n">
        <x:v>0.6568627450980392</x:v>
      </x:c>
      <x:c r="E6" s="45" t="n">
        <x:v>0.5259259259259259</x:v>
      </x:c>
      <x:c r="F6" s="45" t="n">
        <x:v>0.5570079883805373</x:v>
      </x:c>
      <x:c r="G6" s="45" t="n">
        <x:v>0.5725490196078431</x:v>
      </x:c>
    </x:row>
    <x:row r="7" ht="15" hidden="0" customHeight="1">
      <x:c r="A7" s="44" t="str">
        <x:v>Jaulian stupa and monastery</x:v>
      </x:c>
      <x:c r="B7" s="44" t="str">
        <x:v>139-015</x:v>
      </x:c>
      <x:c r="C7" s="45" t="n">
        <x:v>0.5176470588235295</x:v>
      </x:c>
      <x:c r="D7" s="45" t="n">
        <x:v>0.6176470588235294</x:v>
      </x:c>
      <x:c r="E7" s="45" t="n">
        <x:v>0.5259259259259259</x:v>
      </x:c>
      <x:c r="F7" s="45" t="n">
        <x:v>0.5537400145243282</x:v>
      </x:c>
      <x:c r="G7" s="45" t="n">
        <x:v>0.5676470588235294</x:v>
      </x:c>
    </x:row>
    <x:row r="8" ht="15" hidden="0" customHeight="1">
      <x:c r="A8" s="44" t="str">
        <x:v>Mohra Moradu stupa and monastery</x:v>
      </x:c>
      <x:c r="B8" s="44" t="str">
        <x:v>139-013</x:v>
      </x:c>
      <x:c r="C8" s="45" t="n">
        <x:v>0.5</x:v>
      </x:c>
      <x:c r="D8" s="45" t="n">
        <x:v>0.5784313725490197</x:v>
      </x:c>
      <x:c r="E8" s="45" t="n">
        <x:v>0.5259259259259259</x:v>
      </x:c>
      <x:c r="F8" s="45" t="n">
        <x:v>0.5347857661583152</x:v>
      </x:c>
      <x:c r="G8" s="45" t="n">
        <x:v>0.5392156862745099</x:v>
      </x:c>
    </x:row>
    <x:row r="9" ht="15" hidden="0" customHeight="1">
      <x:c r="A9" s="44" t="str">
        <x:v>Dharmarajika stupa and monastery</x:v>
      </x:c>
      <x:c r="B9" s="44" t="str">
        <x:v>139-006</x:v>
      </x:c>
      <x:c r="C9" s="45" t="n">
        <x:v>0.5529411764705883</x:v>
      </x:c>
      <x:c r="D9" s="45" t="n">
        <x:v>0.5196078431372549</x:v>
      </x:c>
      <x:c r="E9" s="45" t="n">
        <x:v>0.5259259259259259</x:v>
      </x:c>
      <x:c r="F9" s="45" t="n">
        <x:v>0.5328249818445897</x:v>
      </x:c>
      <x:c r="G9" s="45" t="n">
        <x:v>0.5362745098039217</x:v>
      </x:c>
    </x:row>
    <x:row r="10" ht="15" hidden="0" customHeight="1">
      <x:c r="A10" s="44" t="str">
        <x:v>Khader Mohra (Akhuri)</x:v>
      </x:c>
      <x:c r="B10" s="44" t="str">
        <x:v>139-007</x:v>
      </x:c>
      <x:c r="C10" s="45" t="n">
        <x:v>0.5117647058823529</x:v>
      </x:c>
      <x:c r="D10" s="45" t="n">
        <x:v>0.5588235294117646</x:v>
      </x:c>
      <x:c r="E10" s="45" t="n">
        <x:v>0.5259259259259259</x:v>
      </x:c>
      <x:c r="F10" s="45" t="n">
        <x:v>0.5321713870733478</x:v>
      </x:c>
      <x:c r="G10" s="45" t="n">
        <x:v>0.5352941176470587</x:v>
      </x:c>
    </x:row>
    <x:row r="11" ht="15" hidden="0" customHeight="1">
      <x:c r="A11" s="44" t="str">
        <x:v>Kalawan group of buildings</x:v>
      </x:c>
      <x:c r="B11" s="44" t="str">
        <x:v>139-008</x:v>
      </x:c>
      <x:c r="C11" s="45" t="n">
        <x:v>0.5676470588235294</x:v>
      </x:c>
      <x:c r="D11" s="45" t="n">
        <x:v>0.4705882352941176</x:v>
      </x:c>
      <x:c r="E11" s="45" t="n">
        <x:v>0.5259259259259259</x:v>
      </x:c>
      <x:c r="F11" s="45" t="n">
        <x:v>0.5213870733478576</x:v>
      </x:c>
      <x:c r="G11" s="45" t="n">
        <x:v>0.5191176470588235</x:v>
      </x:c>
    </x:row>
    <x:row r="12" ht="15" hidden="0" customHeight="1">
      <x:c r="A12" s="44" t="str">
        <x:v>Buddhist remains around Bhallar stupa</x:v>
      </x:c>
      <x:c r="B12" s="44" t="str">
        <x:v>139-017</x:v>
      </x:c>
      <x:c r="C12" s="45" t="n">
        <x:v>0.338235294117647</x:v>
      </x:c>
      <x:c r="D12" s="45" t="n">
        <x:v>0.6960784313725489</x:v>
      </x:c>
      <x:c r="E12" s="45" t="n">
        <x:v>0.5259259259259259</x:v>
      </x:c>
      <x:c r="F12" s="45" t="n">
        <x:v>0.520079883805374</x:v>
      </x:c>
      <x:c r="G12" s="45" t="n">
        <x:v>0.517156862745098</x:v>
      </x:c>
    </x:row>
    <x:row r="13" ht="15" hidden="0" customHeight="1">
      <x:c r="A13" s="44" t="str">
        <x:v>Sirsukh (fortified ruined city)</x:v>
      </x:c>
      <x:c r="B13" s="44" t="str">
        <x:v>139-005</x:v>
      </x:c>
      <x:c r="C13" s="45" t="n">
        <x:v>0.5617647058823529</x:v>
      </x:c>
      <x:c r="D13" s="45" t="n">
        <x:v>0.4411764705882353</x:v>
      </x:c>
      <x:c r="E13" s="45" t="n">
        <x:v>0.5259259259259259</x:v>
      </x:c>
      <x:c r="F13" s="45" t="n">
        <x:v>0.5096223674655047</x:v>
      </x:c>
      <x:c r="G13" s="45" t="n">
        <x:v>0.5014705882352941</x:v>
      </x:c>
    </x:row>
    <x:row r="14" ht="15" hidden="0" customHeight="1">
      <x:c r="A14" s="44" t="str">
        <x:v>Kunala stupa and monastery</x:v>
      </x:c>
      <x:c r="B14" s="44" t="str">
        <x:v>139-010</x:v>
      </x:c>
      <x:c r="C14" s="45" t="n">
        <x:v>0.5411764705882353</x:v>
      </x:c>
      <x:c r="D14" s="45" t="n">
        <x:v>0.46078431372549017</x:v>
      </x:c>
      <x:c r="E14" s="45" t="n">
        <x:v>0.5259259259259259</x:v>
      </x:c>
      <x:c r="F14" s="45" t="n">
        <x:v>0.5092955700798838</x:v>
      </x:c>
      <x:c r="G14" s="45" t="n">
        <x:v>0.5009803921568627</x:v>
      </x:c>
    </x:row>
    <x:row r="15" ht="15" hidden="0" customHeight="1">
      <x:c r="A15" s="44" t="str">
        <x:v>Pippala stupa and monastery</x:v>
      </x:c>
      <x:c r="B15" s="44" t="str">
        <x:v>139-014</x:v>
      </x:c>
      <x:c r="C15" s="45" t="n">
        <x:v>0.4529411764705882</x:v>
      </x:c>
      <x:c r="D15" s="45" t="n">
        <x:v>0.5490196078431372</x:v>
      </x:c>
      <x:c r="E15" s="45" t="n">
        <x:v>0.5259259259259259</x:v>
      </x:c>
      <x:c r="F15" s="45" t="n">
        <x:v>0.5092955700798838</x:v>
      </x:c>
      <x:c r="G15" s="45" t="n">
        <x:v>0.5009803921568627</x:v>
      </x:c>
    </x:row>
    <x:row r="16" ht="15" hidden="0" customHeight="1">
      <x:c r="A16" s="44" t="str">
        <x:v>Sirkap (fortified city)</x:v>
      </x:c>
      <x:c r="B16" s="44" t="str">
        <x:v>139-004</x:v>
      </x:c>
      <x:c r="C16" s="45" t="n">
        <x:v>0.5970588235294118</x:v>
      </x:c>
      <x:c r="D16" s="45" t="n">
        <x:v>0.3627450980392157</x:v>
      </x:c>
      <x:c r="E16" s="45" t="n">
        <x:v>0.5259259259259259</x:v>
      </x:c>
      <x:c r="F16" s="45" t="n">
        <x:v>0.49524328249818445</x:v>
      </x:c>
      <x:c r="G16" s="45" t="n">
        <x:v>0.4799019607843137</x:v>
      </x:c>
    </x:row>
    <x:row r="17" ht="15" hidden="0" customHeight="1">
      <x:c r="A17" s="44" t="str">
        <x:v>Lalchak mounds</x:v>
      </x:c>
      <x:c r="B17" s="44" t="str">
        <x:v>139-016</x:v>
      </x:c>
      <x:c r="C17" s="45" t="n">
        <x:v>0.5588235294117647</x:v>
      </x:c>
      <x:c r="D17" s="45" t="n">
        <x:v>0.3333333333333333</x:v>
      </x:c>
      <x:c r="E17" s="45" t="n">
        <x:v>0.5259259259259259</x:v>
      </x:c>
      <x:c r="F17" s="45" t="n">
        <x:v>0.4726942628903413</x:v>
      </x:c>
      <x:c r="G17" s="45" t="n">
        <x:v>0.446078431372549</x:v>
      </x:c>
    </x:row>
    <x:row r="18" ht="15" hidden="0" customHeight="1">
      <x:c r="A18" s="44" t="str">
        <x:v>Khanpur Cave</x:v>
      </x:c>
      <x:c r="B18" s="44" t="str">
        <x:v>139-001</x:v>
      </x:c>
      <x:c r="C18" s="45" t="n">
        <x:v>0.42058823529411765</x:v>
      </x:c>
      <x:c r="D18" s="45" t="n">
        <x:v>0.4411764705882353</x:v>
      </x:c>
      <x:c r="E18" s="45" t="n">
        <x:v>0.5259259259259259</x:v>
      </x:c>
      <x:c r="F18" s="45" t="n">
        <x:v>0.46256354393609295</x:v>
      </x:c>
      <x:c r="G18" s="45" t="n">
        <x:v>0.4308823529411765</x:v>
      </x:c>
    </x:row>
    <x:row r="19" ht="15" hidden="0" customHeight="1">
      <x:c r="A19" s="44" t="str">
        <x:v>Lalchak and Badalpur Buddhist stuppa</x:v>
      </x:c>
      <x:c r="B19" s="44" t="str">
        <x:v>139-012</x:v>
      </x:c>
      <x:c r="C19" s="45" t="n">
        <x:v>0.47058823529411764</x:v>
      </x:c>
      <x:c r="D19" s="45" t="n">
        <x:v>0.3137254901960784</x:v>
      </x:c>
      <x:c r="E19" s="45" t="n">
        <x:v>0.5259259259259259</x:v>
      </x:c>
      <x:c r="F19" s="45" t="n">
        <x:v>0.4367465504720407</x:v>
      </x:c>
      <x:c r="G19" s="45" t="n">
        <x:v>0.39215686274509803</x:v>
      </x:c>
    </x:row>
    <x:row r="20" ht="15" hidden="0" customHeight="1">
      <x:c r="A20" s="44" t="str">
        <x:v>Jandial complex</x:v>
      </x:c>
      <x:c r="B20" s="44" t="str">
        <x:v>139-011</x:v>
      </x:c>
      <x:c r="C20" s="45" t="n">
        <x:v>0.25588235294117645</x:v>
      </x:c>
      <x:c r="D20" s="45" t="n">
        <x:v>0.4411764705882353</x:v>
      </x:c>
      <x:c r="E20" s="45" t="n">
        <x:v>0.5259259259259259</x:v>
      </x:c>
      <x:c r="F20" s="45" t="n">
        <x:v>0.4076615831517792</x:v>
      </x:c>
      <x:c r="G20" s="45" t="n">
        <x:v>0.34852941176470587</x:v>
      </x:c>
    </x:row>
    <x:row r="21" ht="15" hidden="0" customHeight="1">
      <x:c r="A21" s="44" t="str">
        <x:v>Bhir Mound</x:v>
      </x:c>
      <x:c r="B21" s="44" t="str">
        <x:v>139-003</x:v>
      </x:c>
      <x:c r="C21" s="45" t="n">
        <x:v>0.2970588235294118</x:v>
      </x:c>
      <x:c r="D21" s="45" t="n">
        <x:v>0.38235294117647056</x:v>
      </x:c>
      <x:c r="E21" s="45" t="n">
        <x:v>0.5259259259259259</x:v>
      </x:c>
      <x:c r="F21" s="45" t="n">
        <x:v>0.40177923021060274</x:v>
      </x:c>
      <x:c r="G21" s="45" t="n">
        <x:v>0.3397058823529412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a94113685cb64bbc"/>
  <x:tableParts count="1">
    <x:tablePart xmlns:r="http://schemas.openxmlformats.org/officeDocument/2006/relationships" r:id="R891ce730ea6348b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18" hidden="0" customWidth="1"/>
    <x:col min="39" max="39" width="18" hidden="0" customWidth="1"/>
  </x:cols>
  <x:sheetData>
    <x:row r="1" ht="31" customHeight="1">
      <x:c r="A1" s="34" t="str">
        <x:v>Component-by-epoch integrated scores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  <x:c r="T1" s="35"/>
      <x:c r="U1" s="35"/>
      <x:c r="V1" s="35"/>
      <x:c r="W1" s="35"/>
      <x:c r="X1" s="35"/>
      <x:c r="Y1" s="35"/>
      <x:c r="Z1" s="35"/>
      <x:c r="AA1" s="35"/>
      <x:c r="AB1" s="35"/>
      <x:c r="AC1" s="35"/>
      <x:c r="AD1" s="35"/>
      <x:c r="AE1" s="35"/>
      <x:c r="AF1" s="35"/>
      <x:c r="AG1" s="35"/>
      <x:c r="AH1" s="35"/>
      <x:c r="AI1" s="35"/>
      <x:c r="AJ1" s="35"/>
      <x:c r="AK1" s="35"/>
      <x:c r="AL1" s="35"/>
      <x:c r="AM1" s="35"/>
    </x:row>
    <x:row r="2" ht="30" customHeight="1">
      <x:c r="A2" s="36" t="str">
        <x:v>Complete 17-component × 5-epoch × 3-scale analytical table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  <x:c r="T2" s="35"/>
      <x:c r="U2" s="35"/>
      <x:c r="V2" s="35"/>
      <x:c r="W2" s="35"/>
      <x:c r="X2" s="35"/>
      <x:c r="Y2" s="35"/>
      <x:c r="Z2" s="35"/>
      <x:c r="AA2" s="35"/>
      <x:c r="AB2" s="35"/>
      <x:c r="AC2" s="35"/>
      <x:c r="AD2" s="35"/>
      <x:c r="AE2" s="35"/>
      <x:c r="AF2" s="35"/>
      <x:c r="AG2" s="35"/>
      <x:c r="AH2" s="35"/>
      <x:c r="AI2" s="35"/>
      <x:c r="AJ2" s="35"/>
      <x:c r="AK2" s="35"/>
      <x:c r="AL2" s="35"/>
      <x:c r="AM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  <x:c r="T3" s="35"/>
      <x:c r="U3" s="35"/>
      <x:c r="V3" s="35"/>
      <x:c r="W3" s="35"/>
      <x:c r="X3" s="35"/>
      <x:c r="Y3" s="35"/>
      <x:c r="Z3" s="35"/>
      <x:c r="AA3" s="35"/>
      <x:c r="AB3" s="35"/>
      <x:c r="AC3" s="35"/>
      <x:c r="AD3" s="35"/>
      <x:c r="AE3" s="35"/>
      <x:c r="AF3" s="35"/>
      <x:c r="AG3" s="35"/>
      <x:c r="AH3" s="35"/>
      <x:c r="AI3" s="35"/>
      <x:c r="AJ3" s="35"/>
      <x:c r="AK3" s="35"/>
      <x:c r="AL3" s="35"/>
      <x:c r="AM3" s="35"/>
    </x:row>
    <x:row r="4" ht="33" customHeight="1">
      <x:c r="A4" s="43" t="str">
        <x:v>component_id</x:v>
      </x:c>
      <x:c r="B4" s="43" t="str">
        <x:v>component_name</x:v>
      </x:c>
      <x:c r="C4" s="43" t="str">
        <x:v>radius_m</x:v>
      </x:c>
      <x:c r="D4" s="43" t="str">
        <x:v>epoch_id</x:v>
      </x:c>
      <x:c r="E4" s="43" t="str">
        <x:v>label_year</x:v>
      </x:c>
      <x:c r="F4" s="43" t="str">
        <x:v>valid_cells</x:v>
      </x:c>
      <x:c r="G4" s="43" t="str">
        <x:v>ndvi_median</x:v>
      </x:c>
      <x:c r="H4" s="43" t="str">
        <x:v>ndvi_p10</x:v>
      </x:c>
      <x:c r="I4" s="43" t="str">
        <x:v>ndvi_p90</x:v>
      </x:c>
      <x:c r="J4" s="43" t="str">
        <x:v>ndbi_median</x:v>
      </x:c>
      <x:c r="K4" s="43" t="str">
        <x:v>ndbi_p10</x:v>
      </x:c>
      <x:c r="L4" s="43" t="str">
        <x:v>ndbi_p90</x:v>
      </x:c>
      <x:c r="M4" s="43" t="str">
        <x:v>mndwi_median</x:v>
      </x:c>
      <x:c r="N4" s="43" t="str">
        <x:v>mndwi_p10</x:v>
      </x:c>
      <x:c r="O4" s="43" t="str">
        <x:v>mndwi_p90</x:v>
      </x:c>
      <x:c r="P4" s="43" t="str">
        <x:v>bsi_median</x:v>
      </x:c>
      <x:c r="Q4" s="43" t="str">
        <x:v>bsi_p10</x:v>
      </x:c>
      <x:c r="R4" s="43" t="str">
        <x:v>bsi_p90</x:v>
      </x:c>
      <x:c r="S4" s="43" t="str">
        <x:v>classified_cells</x:v>
      </x:c>
      <x:c r="T4" s="43" t="str">
        <x:v>lc_class_1_share</x:v>
      </x:c>
      <x:c r="U4" s="43" t="str">
        <x:v>lc_class_2_share</x:v>
      </x:c>
      <x:c r="V4" s="43" t="str">
        <x:v>lc_class_3_share</x:v>
      </x:c>
      <x:c r="W4" s="43" t="str">
        <x:v>lc_class_4_share</x:v>
      </x:c>
      <x:c r="X4" s="43" t="str">
        <x:v>lc_class_5_share</x:v>
      </x:c>
      <x:c r="Y4" s="43" t="str">
        <x:v>lc_class_6_share</x:v>
      </x:c>
      <x:c r="Z4" s="43" t="str">
        <x:v>ndvi_pressure</x:v>
      </x:c>
      <x:c r="AA4" s="43" t="str">
        <x:v>mndwi_pressure</x:v>
      </x:c>
      <x:c r="AB4" s="43" t="str">
        <x:v>ndbi_pressure</x:v>
      </x:c>
      <x:c r="AC4" s="43" t="str">
        <x:v>built_share_pressure</x:v>
      </x:c>
      <x:c r="AD4" s="43" t="str">
        <x:v>bare_share_pressure</x:v>
      </x:c>
      <x:c r="AE4" s="43" t="str">
        <x:v>surface_cover_pressure</x:v>
      </x:c>
      <x:c r="AF4" s="43" t="str">
        <x:v>landscape_pressure_score</x:v>
      </x:c>
      <x:c r="AG4" s="43" t="str">
        <x:v>terrain_susceptibility_score</x:v>
      </x:c>
      <x:c r="AH4" s="43" t="str">
        <x:v>slope_pressure</x:v>
      </x:c>
      <x:c r="AI4" s="43" t="str">
        <x:v>wetness_pressure</x:v>
      </x:c>
      <x:c r="AJ4" s="43" t="str">
        <x:v>drainage_proximity_pressure</x:v>
      </x:c>
      <x:c r="AK4" s="43" t="str">
        <x:v>climate_extreme_score</x:v>
      </x:c>
      <x:c r="AL4" s="43" t="str">
        <x:v>integrated_exposure_score</x:v>
      </x:c>
      <x:c r="AM4" s="43" t="str">
        <x:v>local_priority_score</x:v>
      </x:c>
    </x:row>
    <x:row r="5" ht="15" hidden="0" customHeight="1">
      <x:c r="A5" s="44" t="str">
        <x:v>139-001</x:v>
      </x:c>
      <x:c r="B5" s="44" t="str">
        <x:v>Khanpur Cave</x:v>
      </x:c>
      <x:c r="C5" s="44" t="n">
        <x:v>250</x:v>
      </x:c>
      <x:c r="D5" s="44" t="str">
        <x:v>E2004</x:v>
      </x:c>
      <x:c r="E5" s="44" t="n">
        <x:v>2004</x:v>
      </x:c>
      <x:c r="F5" s="44" t="n">
        <x:v>220</x:v>
      </x:c>
      <x:c r="G5" s="45" t="n">
        <x:v>0.4086701273918152</x:v>
      </x:c>
      <x:c r="H5" s="44" t="n">
        <x:v>0.21503320336341858</x:v>
      </x:c>
      <x:c r="I5" s="44" t="n">
        <x:v>0.5035776495933533</x:v>
      </x:c>
      <x:c r="J5" s="45" t="n">
        <x:v>-0.02854399010539055</x:v>
      </x:c>
      <x:c r="K5" s="44" t="n">
        <x:v>-0.16299642622470856</x:v>
      </x:c>
      <x:c r="L5" s="44" t="n">
        <x:v>0.1217917799949646</x:v>
      </x:c>
      <x:c r="M5" s="45" t="n">
        <x:v>-0.4361443519592285</x:v>
      </x:c>
      <x:c r="N5" s="44" t="n">
        <x:v>-0.45511630177497864</x:v>
      </x:c>
      <x:c r="O5" s="44" t="n">
        <x:v>-0.35319218039512634</x:v>
      </x:c>
      <x:c r="P5" s="45" t="n">
        <x:v>0.04606784135103226</x:v>
      </x:c>
      <x:c r="Q5" s="44" t="n">
        <x:v>-0.07566595822572708</x:v>
      </x:c>
      <x:c r="R5" s="44" t="n">
        <x:v>0.17551584541797638</x:v>
      </x:c>
      <x:c r="S5" s="44" t="n">
        <x:v>220</x:v>
      </x:c>
      <x:c r="T5" s="44" t="n">
        <x:v>0.06363636363636363</x:v>
      </x:c>
      <x:c r="U5" s="44" t="n">
        <x:v>0.14545454545454545</x:v>
      </x:c>
      <x:c r="V5" s="44" t="n">
        <x:v>0.2681818181818182</x:v>
      </x:c>
      <x:c r="W5" s="44" t="n">
        <x:v>0.12272727272727273</x:v>
      </x:c>
      <x:c r="X5" s="44" t="n">
        <x:v>0.4</x:v>
      </x:c>
      <x:c r="Y5" s="44" t="n">
        <x:v>0</x:v>
      </x:c>
      <x:c r="Z5" s="44" t="n">
        <x:v>0.5588235294117647</x:v>
      </x:c>
      <x:c r="AA5" s="45" t="n">
        <x:v>0.7705882352941177</x:v>
      </x:c>
      <x:c r="AB5" s="45" t="n">
        <x:v>0.711764705882353</x:v>
      </x:c>
      <x:c r="AC5" s="45" t="n">
        <x:v>0.48823529411764705</x:v>
      </x:c>
      <x:c r="AD5" s="44" t="n">
        <x:v>0.9470588235294117</x:v>
      </x:c>
      <x:c r="AE5" s="44" t="n">
        <x:v>0.6352941176470588</x:v>
      </x:c>
      <x:c r="AF5" s="45" t="n">
        <x:v>0.7029411764705882</x:v>
      </x:c>
      <x:c r="AG5" s="45" t="n">
        <x:v>0.4411764705882353</x:v>
      </x:c>
      <x:c r="AH5" s="44" t="n">
        <x:v>0.6176470588235294</x:v>
      </x:c>
      <x:c r="AI5" s="44" t="n">
        <x:v>0.38235294117647056</x:v>
      </x:c>
      <x:c r="AJ5" s="45" t="n">
        <x:v>0.3235294117647059</x:v>
      </x:c>
      <x:c r="AK5" s="45" t="n">
        <x:v>0.5166666666666666</x:v>
      </x:c>
      <x:c r="AL5" s="45" t="n">
        <x:v>0.55359477124183</x:v>
      </x:c>
      <x:c r="AM5" s="44" t="n">
        <x:v>0.5720588235294117</x:v>
      </x:c>
    </x:row>
    <x:row r="6" ht="15" hidden="0" customHeight="1">
      <x:c r="A6" s="44" t="str">
        <x:v>139-001</x:v>
      </x:c>
      <x:c r="B6" s="44" t="str">
        <x:v>Khanpur Cave</x:v>
      </x:c>
      <x:c r="C6" s="44" t="n">
        <x:v>250</x:v>
      </x:c>
      <x:c r="D6" s="44" t="str">
        <x:v>E2009</x:v>
      </x:c>
      <x:c r="E6" s="44" t="n">
        <x:v>2009</x:v>
      </x:c>
      <x:c r="F6" s="44" t="n">
        <x:v>220</x:v>
      </x:c>
      <x:c r="G6" s="45" t="n">
        <x:v>0.37891262769699097</x:v>
      </x:c>
      <x:c r="H6" s="44" t="n">
        <x:v>0.2301509827375412</x:v>
      </x:c>
      <x:c r="I6" s="44" t="n">
        <x:v>0.488587349653244</x:v>
      </x:c>
      <x:c r="J6" s="45" t="n">
        <x:v>-0.019633824005723</x:v>
      </x:c>
      <x:c r="K6" s="44" t="n">
        <x:v>-0.15929986536502838</x:v>
      </x:c>
      <x:c r="L6" s="44" t="n">
        <x:v>0.10650352388620377</x:v>
      </x:c>
      <x:c r="M6" s="45" t="n">
        <x:v>-0.4336964190006256</x:v>
      </x:c>
      <x:c r="N6" s="44" t="n">
        <x:v>-0.45870423316955566</x:v>
      </x:c>
      <x:c r="O6" s="44" t="n">
        <x:v>-0.33617496490478516</x:v>
      </x:c>
      <x:c r="P6" s="45" t="n">
        <x:v>0.05744108557701111</x:v>
      </x:c>
      <x:c r="Q6" s="44" t="n">
        <x:v>-0.06938216835260391</x:v>
      </x:c>
      <x:c r="R6" s="44" t="n">
        <x:v>0.16353119909763336</x:v>
      </x:c>
      <x:c r="S6" s="44" t="n">
        <x:v>220</x:v>
      </x:c>
      <x:c r="T6" s="44" t="n">
        <x:v>0.08636363636363636</x:v>
      </x:c>
      <x:c r="U6" s="44" t="n">
        <x:v>0.1318181818181818</x:v>
      </x:c>
      <x:c r="V6" s="44" t="n">
        <x:v>0.30454545454545456</x:v>
      </x:c>
      <x:c r="W6" s="44" t="n">
        <x:v>0.05909090909090909</x:v>
      </x:c>
      <x:c r="X6" s="44" t="n">
        <x:v>0.41818181818181815</x:v>
      </x:c>
      <x:c r="Y6" s="44" t="n">
        <x:v>0</x:v>
      </x:c>
      <x:c r="Z6" s="44" t="n">
        <x:v>0.7823529411764706</x:v>
      </x:c>
      <x:c r="AA6" s="45" t="n">
        <x:v>0.7235294117647059</x:v>
      </x:c>
      <x:c r="AB6" s="45" t="n">
        <x:v>0.7941176470588235</x:v>
      </x:c>
      <x:c r="AC6" s="45" t="n">
        <x:v>0.5705882352941176</x:v>
      </x:c>
      <x:c r="AD6" s="44" t="n">
        <x:v>0.9117647058823529</x:v>
      </x:c>
      <x:c r="AE6" s="44" t="n">
        <x:v>0.788235294117647</x:v>
      </x:c>
      <x:c r="AF6" s="45" t="n">
        <x:v>0.7558823529411764</x:v>
      </x:c>
      <x:c r="AG6" s="45" t="n">
        <x:v>0.4411764705882353</x:v>
      </x:c>
      <x:c r="AH6" s="44" t="n">
        <x:v>0.6176470588235294</x:v>
      </x:c>
      <x:c r="AI6" s="44" t="n">
        <x:v>0.38235294117647056</x:v>
      </x:c>
      <x:c r="AJ6" s="45" t="n">
        <x:v>0.3235294117647059</x:v>
      </x:c>
      <x:c r="AK6" s="45" t="n">
        <x:v>0.462037037037037</x:v>
      </x:c>
      <x:c r="AL6" s="45" t="n">
        <x:v>0.5530319535221496</x:v>
      </x:c>
      <x:c r="AM6" s="44" t="n">
        <x:v>0.5985294117647059</x:v>
      </x:c>
    </x:row>
    <x:row r="7" ht="15" hidden="0" customHeight="1">
      <x:c r="A7" s="44" t="str">
        <x:v>139-001</x:v>
      </x:c>
      <x:c r="B7" s="44" t="str">
        <x:v>Khanpur Cave</x:v>
      </x:c>
      <x:c r="C7" s="44" t="n">
        <x:v>250</x:v>
      </x:c>
      <x:c r="D7" s="44" t="str">
        <x:v>E2014</x:v>
      </x:c>
      <x:c r="E7" s="44" t="n">
        <x:v>2014</x:v>
      </x:c>
      <x:c r="F7" s="44" t="n">
        <x:v>220</x:v>
      </x:c>
      <x:c r="G7" s="45" t="n">
        <x:v>0.40449821949005127</x:v>
      </x:c>
      <x:c r="H7" s="44" t="n">
        <x:v>0.2320936620235443</x:v>
      </x:c>
      <x:c r="I7" s="44" t="n">
        <x:v>0.5508301258087158</x:v>
      </x:c>
      <x:c r="J7" s="45" t="n">
        <x:v>-0.023679083213210106</x:v>
      </x:c>
      <x:c r="K7" s="44" t="n">
        <x:v>-0.16871358454227448</x:v>
      </x:c>
      <x:c r="L7" s="44" t="n">
        <x:v>0.10650324821472168</x:v>
      </x:c>
      <x:c r="M7" s="45" t="n">
        <x:v>-0.4280737638473511</x:v>
      </x:c>
      <x:c r="N7" s="44" t="n">
        <x:v>-0.4677553176879883</x:v>
      </x:c>
      <x:c r="O7" s="44" t="n">
        <x:v>-0.3580250144004822</x:v>
      </x:c>
      <x:c r="P7" s="45" t="n">
        <x:v>0.04919940233230591</x:v>
      </x:c>
      <x:c r="Q7" s="44" t="n">
        <x:v>-0.08115663379430771</x:v>
      </x:c>
      <x:c r="R7" s="44" t="n">
        <x:v>0.15266230702400208</x:v>
      </x:c>
      <x:c r="S7" s="44" t="n">
        <x:v>220</x:v>
      </x:c>
      <x:c r="T7" s="44" t="n">
        <x:v>0.07272727272727272</x:v>
      </x:c>
      <x:c r="U7" s="44" t="n">
        <x:v>0.15</x:v>
      </x:c>
      <x:c r="V7" s="44" t="n">
        <x:v>0.2409090909090909</x:v>
      </x:c>
      <x:c r="W7" s="44" t="n">
        <x:v>0.1409090909090909</x:v>
      </x:c>
      <x:c r="X7" s="44" t="n">
        <x:v>0.39545454545454545</x:v>
      </x:c>
      <x:c r="Y7" s="44" t="n">
        <x:v>0</x:v>
      </x:c>
      <x:c r="Z7" s="44" t="n">
        <x:v>0.5823529411764706</x:v>
      </x:c>
      <x:c r="AA7" s="45" t="n">
        <x:v>0.5941176470588235</x:v>
      </x:c>
      <x:c r="AB7" s="45" t="n">
        <x:v>0.7470588235294118</x:v>
      </x:c>
      <x:c r="AC7" s="45" t="n">
        <x:v>0.5352941176470588</x:v>
      </x:c>
      <x:c r="AD7" s="44" t="n">
        <x:v>0.9588235294117647</x:v>
      </x:c>
      <x:c r="AE7" s="44" t="n">
        <x:v>0.6647058823529413</x:v>
      </x:c>
      <x:c r="AF7" s="45" t="n">
        <x:v>0.6294117647058823</x:v>
      </x:c>
      <x:c r="AG7" s="45" t="n">
        <x:v>0.4411764705882353</x:v>
      </x:c>
      <x:c r="AH7" s="44" t="n">
        <x:v>0.6176470588235294</x:v>
      </x:c>
      <x:c r="AI7" s="44" t="n">
        <x:v>0.38235294117647056</x:v>
      </x:c>
      <x:c r="AJ7" s="45" t="n">
        <x:v>0.3235294117647059</x:v>
      </x:c>
      <x:c r="AK7" s="45" t="n">
        <x:v>0.4842592592592592</x:v>
      </x:c>
      <x:c r="AL7" s="45" t="n">
        <x:v>0.5182824981844589</x:v>
      </x:c>
      <x:c r="AM7" s="44" t="n">
        <x:v>0.5352941176470588</x:v>
      </x:c>
    </x:row>
    <x:row r="8" ht="15" hidden="0" customHeight="1">
      <x:c r="A8" s="44" t="str">
        <x:v>139-001</x:v>
      </x:c>
      <x:c r="B8" s="44" t="str">
        <x:v>Khanpur Cave</x:v>
      </x:c>
      <x:c r="C8" s="44" t="n">
        <x:v>250</x:v>
      </x:c>
      <x:c r="D8" s="44" t="str">
        <x:v>E2019</x:v>
      </x:c>
      <x:c r="E8" s="44" t="n">
        <x:v>2019</x:v>
      </x:c>
      <x:c r="F8" s="44" t="n">
        <x:v>218</x:v>
      </x:c>
      <x:c r="G8" s="45" t="n">
        <x:v>0.40044721961021423</x:v>
      </x:c>
      <x:c r="H8" s="44" t="n">
        <x:v>0.1982269138097763</x:v>
      </x:c>
      <x:c r="I8" s="44" t="n">
        <x:v>0.6080723404884338</x:v>
      </x:c>
      <x:c r="J8" s="45" t="n">
        <x:v>-0.03189494460821152</x:v>
      </x:c>
      <x:c r="K8" s="44" t="n">
        <x:v>-0.1917320191860199</x:v>
      </x:c>
      <x:c r="L8" s="44" t="n">
        <x:v>0.1295115202665329</x:v>
      </x:c>
      <x:c r="M8" s="45" t="n">
        <x:v>-0.41909199953079224</x:v>
      </x:c>
      <x:c r="N8" s="44" t="n">
        <x:v>-0.46685653924942017</x:v>
      </x:c>
      <x:c r="O8" s="44" t="n">
        <x:v>-0.3509664833545685</x:v>
      </x:c>
      <x:c r="P8" s="45" t="n">
        <x:v>0.047851480543613434</x:v>
      </x:c>
      <x:c r="Q8" s="44" t="n">
        <x:v>-0.10987318307161331</x:v>
      </x:c>
      <x:c r="R8" s="44" t="n">
        <x:v>0.1736554652452469</x:v>
      </x:c>
      <x:c r="S8" s="44" t="n">
        <x:v>218</x:v>
      </x:c>
      <x:c r="T8" s="44" t="n">
        <x:v>0.06422018348623854</x:v>
      </x:c>
      <x:c r="U8" s="44" t="n">
        <x:v>0.23394495412844038</x:v>
      </x:c>
      <x:c r="V8" s="44" t="n">
        <x:v>0.2018348623853211</x:v>
      </x:c>
      <x:c r="W8" s="44" t="n">
        <x:v>0.16972477064220184</x:v>
      </x:c>
      <x:c r="X8" s="44" t="n">
        <x:v>0.3302752293577982</x:v>
      </x:c>
      <x:c r="Y8" s="44" t="n">
        <x:v>0</x:v>
      </x:c>
      <x:c r="Z8" s="44" t="n">
        <x:v>0.6058823529411764</x:v>
      </x:c>
      <x:c r="AA8" s="45" t="n">
        <x:v>0.40588235294117647</x:v>
      </x:c>
      <x:c r="AB8" s="45" t="n">
        <x:v>0.6882352941176471</x:v>
      </x:c>
      <x:c r="AC8" s="45" t="n">
        <x:v>0.5</x:v>
      </x:c>
      <x:c r="AD8" s="44" t="n">
        <x:v>0.9941176470588236</x:v>
      </x:c>
      <x:c r="AE8" s="44" t="n">
        <x:v>0.6470588235294117</x:v>
      </x:c>
      <x:c r="AF8" s="45" t="n">
        <x:v>0.526470588235294</x:v>
      </x:c>
      <x:c r="AG8" s="45" t="n">
        <x:v>0.4411764705882353</x:v>
      </x:c>
      <x:c r="AH8" s="44" t="n">
        <x:v>0.6176470588235294</x:v>
      </x:c>
      <x:c r="AI8" s="44" t="n">
        <x:v>0.38235294117647056</x:v>
      </x:c>
      <x:c r="AJ8" s="45" t="n">
        <x:v>0.3235294117647059</x:v>
      </x:c>
      <x:c r="AK8" s="45" t="n">
        <x:v>0.3138888888888889</x:v>
      </x:c>
      <x:c r="AL8" s="45" t="n">
        <x:v>0.42717864923747273</x:v>
      </x:c>
      <x:c r="AM8" s="44" t="n">
        <x:v>0.48382352941176465</x:v>
      </x:c>
    </x:row>
    <x:row r="9" ht="15" hidden="0" customHeight="1">
      <x:c r="A9" s="44" t="str">
        <x:v>139-001</x:v>
      </x:c>
      <x:c r="B9" s="44" t="str">
        <x:v>Khanpur Cave</x:v>
      </x:c>
      <x:c r="C9" s="44" t="n">
        <x:v>250</x:v>
      </x:c>
      <x:c r="D9" s="44" t="str">
        <x:v>E2024</x:v>
      </x:c>
      <x:c r="E9" s="44" t="n">
        <x:v>2024</x:v>
      </x:c>
      <x:c r="F9" s="44" t="n">
        <x:v>220</x:v>
      </x:c>
      <x:c r="G9" s="45" t="n">
        <x:v>0.4657241106033325</x:v>
      </x:c>
      <x:c r="H9" s="44" t="n">
        <x:v>0.2016037255525589</x:v>
      </x:c>
      <x:c r="I9" s="44" t="n">
        <x:v>0.6332364678382874</x:v>
      </x:c>
      <x:c r="J9" s="45" t="n">
        <x:v>-0.07880468666553497</x:v>
      </x:c>
      <x:c r="K9" s="44" t="n">
        <x:v>-0.2316913604736328</x:v>
      </x:c>
      <x:c r="L9" s="44" t="n">
        <x:v>0.11235012114048004</x:v>
      </x:c>
      <x:c r="M9" s="45" t="n">
        <x:v>-0.41807985305786133</x:v>
      </x:c>
      <x:c r="N9" s="44" t="n">
        <x:v>-0.47882547974586487</x:v>
      </x:c>
      <x:c r="O9" s="44" t="n">
        <x:v>-0.3676525950431824</x:v>
      </x:c>
      <x:c r="P9" s="45" t="n">
        <x:v>0.002049550414085388</x:v>
      </x:c>
      <x:c r="Q9" s="44" t="n">
        <x:v>-0.14280644059181213</x:v>
      </x:c>
      <x:c r="R9" s="44" t="n">
        <x:v>0.16870200634002686</x:v>
      </x:c>
      <x:c r="S9" s="44" t="n">
        <x:v>220</x:v>
      </x:c>
      <x:c r="T9" s="44" t="n">
        <x:v>0.10909090909090909</x:v>
      </x:c>
      <x:c r="U9" s="44" t="n">
        <x:v>0.16818181818181818</x:v>
      </x:c>
      <x:c r="V9" s="44" t="n">
        <x:v>0.2</x:v>
      </x:c>
      <x:c r="W9" s="44" t="n">
        <x:v>0.32727272727272727</x:v>
      </x:c>
      <x:c r="X9" s="44" t="n">
        <x:v>0.19545454545454546</x:v>
      </x:c>
      <x:c r="Y9" s="44" t="n">
        <x:v>0</x:v>
      </x:c>
      <x:c r="Z9" s="44" t="n">
        <x:v>0.3235294117647059</x:v>
      </x:c>
      <x:c r="AA9" s="45" t="n">
        <x:v>0.38235294117647056</x:v>
      </x:c>
      <x:c r="AB9" s="45" t="n">
        <x:v>0.34705882352941175</x:v>
      </x:c>
      <x:c r="AC9" s="45" t="n">
        <x:v>0.6529411764705882</x:v>
      </x:c>
      <x:c r="AD9" s="44" t="n">
        <x:v>0.9823529411764705</x:v>
      </x:c>
      <x:c r="AE9" s="44" t="n">
        <x:v>0.33529411764705885</x:v>
      </x:c>
      <x:c r="AF9" s="45" t="n">
        <x:v>0.3588235294117647</x:v>
      </x:c>
      <x:c r="AG9" s="45" t="n">
        <x:v>0.4411764705882353</x:v>
      </x:c>
      <x:c r="AH9" s="44" t="n">
        <x:v>0.6176470588235294</x:v>
      </x:c>
      <x:c r="AI9" s="44" t="n">
        <x:v>0.38235294117647056</x:v>
      </x:c>
      <x:c r="AJ9" s="45" t="n">
        <x:v>0.3235294117647059</x:v>
      </x:c>
      <x:c r="AK9" s="45" t="n">
        <x:v>0.5259259259259259</x:v>
      </x:c>
      <x:c r="AL9" s="45" t="n">
        <x:v>0.4419753086419753</x:v>
      </x:c>
      <x:c r="AM9" s="44" t="n">
        <x:v>0.4</x:v>
      </x:c>
    </x:row>
    <x:row r="10" ht="15" hidden="0" customHeight="1">
      <x:c r="A10" s="44" t="str">
        <x:v>139-003</x:v>
      </x:c>
      <x:c r="B10" s="44" t="str">
        <x:v>Bhir Mound</x:v>
      </x:c>
      <x:c r="C10" s="44" t="n">
        <x:v>250</x:v>
      </x:c>
      <x:c r="D10" s="44" t="str">
        <x:v>E2004</x:v>
      </x:c>
      <x:c r="E10" s="44" t="n">
        <x:v>2004</x:v>
      </x:c>
      <x:c r="F10" s="44" t="n">
        <x:v>218</x:v>
      </x:c>
      <x:c r="G10" s="45" t="n">
        <x:v>0.3761088252067566</x:v>
      </x:c>
      <x:c r="H10" s="44" t="n">
        <x:v>0.24700181186199188</x:v>
      </x:c>
      <x:c r="I10" s="44" t="n">
        <x:v>0.4463525414466858</x:v>
      </x:c>
      <x:c r="J10" s="45" t="n">
        <x:v>0.0014321792405098677</x:v>
      </x:c>
      <x:c r="K10" s="44" t="n">
        <x:v>-0.06980609893798828</x:v>
      </x:c>
      <x:c r="L10" s="44" t="n">
        <x:v>0.0648094043135643</x:v>
      </x:c>
      <x:c r="M10" s="45" t="n">
        <x:v>-0.4252602756023407</x:v>
      </x:c>
      <x:c r="N10" s="44" t="n">
        <x:v>-0.47054705023765564</x:v>
      </x:c>
      <x:c r="O10" s="44" t="n">
        <x:v>-0.37128233909606934</x:v>
      </x:c>
      <x:c r="P10" s="45" t="n">
        <x:v>0.07082410156726837</x:v>
      </x:c>
      <x:c r="Q10" s="44" t="n">
        <x:v>0.004673672839999199</x:v>
      </x:c>
      <x:c r="R10" s="44" t="n">
        <x:v>0.1313260793685913</x:v>
      </x:c>
      <x:c r="S10" s="44" t="n">
        <x:v>218</x:v>
      </x:c>
      <x:c r="T10" s="44" t="n">
        <x:v>0.16055045871559634</x:v>
      </x:c>
      <x:c r="U10" s="44" t="n">
        <x:v>0.05045871559633028</x:v>
      </x:c>
      <x:c r="V10" s="44" t="n">
        <x:v>0.44954128440366975</x:v>
      </x:c>
      <x:c r="W10" s="44" t="n">
        <x:v>0.009174311926605505</x:v>
      </x:c>
      <x:c r="X10" s="44" t="n">
        <x:v>0.3302752293577982</x:v>
      </x:c>
      <x:c r="Y10" s="44" t="n">
        <x:v>0</x:v>
      </x:c>
      <x:c r="Z10" s="44" t="n">
        <x:v>0.8176470588235294</x:v>
      </x:c>
      <x:c r="AA10" s="45" t="n">
        <x:v>0.5352941176470588</x:v>
      </x:c>
      <x:c r="AB10" s="45" t="n">
        <x:v>0.9</x:v>
      </x:c>
      <x:c r="AC10" s="45" t="n">
        <x:v>0.7941176470588235</x:v>
      </x:c>
      <x:c r="AD10" s="44" t="n">
        <x:v>0.8588235294117647</x:v>
      </x:c>
      <x:c r="AE10" s="44" t="n">
        <x:v>0.8588235294117648</x:v>
      </x:c>
      <x:c r="AF10" s="45" t="n">
        <x:v>0.6970588235294117</x:v>
      </x:c>
      <x:c r="AG10" s="45" t="n">
        <x:v>0.2647058823529412</x:v>
      </x:c>
      <x:c r="AH10" s="44" t="n">
        <x:v>0.38235294117647056</x:v>
      </x:c>
      <x:c r="AI10" s="44" t="n">
        <x:v>0.2647058823529412</x:v>
      </x:c>
      <x:c r="AJ10" s="45" t="n">
        <x:v>0.14705882352941177</x:v>
      </x:c>
      <x:c r="AK10" s="45" t="n">
        <x:v>0.5166666666666666</x:v>
      </x:c>
      <x:c r="AL10" s="45" t="n">
        <x:v>0.49281045751633984</x:v>
      </x:c>
      <x:c r="AM10" s="44" t="n">
        <x:v>0.4808823529411764</x:v>
      </x:c>
    </x:row>
    <x:row r="11" ht="15" hidden="0" customHeight="1">
      <x:c r="A11" s="44" t="str">
        <x:v>139-003</x:v>
      </x:c>
      <x:c r="B11" s="44" t="str">
        <x:v>Bhir Mound</x:v>
      </x:c>
      <x:c r="C11" s="44" t="n">
        <x:v>250</x:v>
      </x:c>
      <x:c r="D11" s="44" t="str">
        <x:v>E2009</x:v>
      </x:c>
      <x:c r="E11" s="44" t="n">
        <x:v>2009</x:v>
      </x:c>
      <x:c r="F11" s="44" t="n">
        <x:v>218</x:v>
      </x:c>
      <x:c r="G11" s="45" t="n">
        <x:v>0.359279990196228</x:v>
      </x:c>
      <x:c r="H11" s="44" t="n">
        <x:v>0.23889482021331787</x:v>
      </x:c>
      <x:c r="I11" s="44" t="n">
        <x:v>0.4304760694503784</x:v>
      </x:c>
      <x:c r="J11" s="45" t="n">
        <x:v>0.0009965321514755487</x:v>
      </x:c>
      <x:c r="K11" s="44" t="n">
        <x:v>-0.06545162945985794</x:v>
      </x:c>
      <x:c r="L11" s="44" t="n">
        <x:v>0.05446889251470566</x:v>
      </x:c>
      <x:c r="M11" s="45" t="n">
        <x:v>-0.425512433052063</x:v>
      </x:c>
      <x:c r="N11" s="44" t="n">
        <x:v>-0.46516287326812744</x:v>
      </x:c>
      <x:c r="O11" s="44" t="n">
        <x:v>-0.35187456011772156</x:v>
      </x:c>
      <x:c r="P11" s="45" t="n">
        <x:v>0.07222985476255417</x:v>
      </x:c>
      <x:c r="Q11" s="44" t="n">
        <x:v>0.013712354004383087</x:v>
      </x:c>
      <x:c r="R11" s="44" t="n">
        <x:v>0.12677274644374847</x:v>
      </x:c>
      <x:c r="S11" s="44" t="n">
        <x:v>218</x:v>
      </x:c>
      <x:c r="T11" s="44" t="n">
        <x:v>0.24311926605504589</x:v>
      </x:c>
      <x:c r="U11" s="44" t="n">
        <x:v>0.045871559633027525</x:v>
      </x:c>
      <x:c r="V11" s="44" t="n">
        <x:v>0.3440366972477064</x:v>
      </x:c>
      <x:c r="W11" s="44" t="n">
        <x:v>0.009174311926605505</x:v>
      </x:c>
      <x:c r="X11" s="44" t="n">
        <x:v>0.3577981651376147</x:v>
      </x:c>
      <x:c r="Y11" s="44" t="n">
        <x:v>0</x:v>
      </x:c>
      <x:c r="Z11" s="44" t="n">
        <x:v>0.8764705882352941</x:v>
      </x:c>
      <x:c r="AA11" s="45" t="n">
        <x:v>0.5470588235294118</x:v>
      </x:c>
      <x:c r="AB11" s="45" t="n">
        <x:v>0.8764705882352941</x:v>
      </x:c>
      <x:c r="AC11" s="45" t="n">
        <x:v>0.9705882352941176</x:v>
      </x:c>
      <x:c r="AD11" s="44" t="n">
        <x:v>0.8411764705882353</x:v>
      </x:c>
      <x:c r="AE11" s="44" t="n">
        <x:v>0.8764705882352941</x:v>
      </x:c>
      <x:c r="AF11" s="45" t="n">
        <x:v>0.711764705882353</x:v>
      </x:c>
      <x:c r="AG11" s="45" t="n">
        <x:v>0.2647058823529412</x:v>
      </x:c>
      <x:c r="AH11" s="44" t="n">
        <x:v>0.38235294117647056</x:v>
      </x:c>
      <x:c r="AI11" s="44" t="n">
        <x:v>0.2647058823529412</x:v>
      </x:c>
      <x:c r="AJ11" s="45" t="n">
        <x:v>0.14705882352941177</x:v>
      </x:c>
      <x:c r="AK11" s="45" t="n">
        <x:v>0.462037037037037</x:v>
      </x:c>
      <x:c r="AL11" s="45" t="n">
        <x:v>0.4795025417574437</x:v>
      </x:c>
      <x:c r="AM11" s="44" t="n">
        <x:v>0.4882352941176471</x:v>
      </x:c>
    </x:row>
    <x:row r="12" ht="15" hidden="0" customHeight="1">
      <x:c r="A12" s="44" t="str">
        <x:v>139-003</x:v>
      </x:c>
      <x:c r="B12" s="44" t="str">
        <x:v>Bhir Mound</x:v>
      </x:c>
      <x:c r="C12" s="44" t="n">
        <x:v>250</x:v>
      </x:c>
      <x:c r="D12" s="44" t="str">
        <x:v>E2014</x:v>
      </x:c>
      <x:c r="E12" s="44" t="n">
        <x:v>2014</x:v>
      </x:c>
      <x:c r="F12" s="44" t="n">
        <x:v>202</x:v>
      </x:c>
      <x:c r="G12" s="45" t="n">
        <x:v>0.4592898488044739</x:v>
      </x:c>
      <x:c r="H12" s="44" t="n">
        <x:v>0.2489694058895111</x:v>
      </x:c>
      <x:c r="I12" s="44" t="n">
        <x:v>0.5545228719711304</x:v>
      </x:c>
      <x:c r="J12" s="45" t="n">
        <x:v>-0.049395911395549774</x:v>
      </x:c>
      <x:c r="K12" s="44" t="n">
        <x:v>-0.120208740234375</x:v>
      </x:c>
      <x:c r="L12" s="44" t="n">
        <x:v>0.039305396378040314</x:v>
      </x:c>
      <x:c r="M12" s="45" t="n">
        <x:v>-0.44247961044311523</x:v>
      </x:c>
      <x:c r="N12" s="44" t="n">
        <x:v>-0.49862873554229736</x:v>
      </x:c>
      <x:c r="O12" s="44" t="n">
        <x:v>-0.34101957082748413</x:v>
      </x:c>
      <x:c r="P12" s="45" t="n">
        <x:v>0.017666824162006378</x:v>
      </x:c>
      <x:c r="Q12" s="44" t="n">
        <x:v>-0.046639345586299896</x:v>
      </x:c>
      <x:c r="R12" s="44" t="n">
        <x:v>0.10909827053546906</x:v>
      </x:c>
      <x:c r="S12" s="44" t="n">
        <x:v>202</x:v>
      </x:c>
      <x:c r="T12" s="44" t="n">
        <x:v>0.18811881188118812</x:v>
      </x:c>
      <x:c r="U12" s="44" t="n">
        <x:v>0.01485148514851485</x:v>
      </x:c>
      <x:c r="V12" s="44" t="n">
        <x:v>0.23267326732673269</x:v>
      </x:c>
      <x:c r="W12" s="44" t="n">
        <x:v>0.09405940594059406</x:v>
      </x:c>
      <x:c r="X12" s="44" t="n">
        <x:v>0.47029702970297027</x:v>
      </x:c>
      <x:c r="Y12" s="44" t="n">
        <x:v>0</x:v>
      </x:c>
      <x:c r="Z12" s="44" t="n">
        <x:v>0.3352941176470588</x:v>
      </x:c>
      <x:c r="AA12" s="45" t="n">
        <x:v>0.8294117647058824</x:v>
      </x:c>
      <x:c r="AB12" s="45" t="n">
        <x:v>0.5117647058823529</x:v>
      </x:c>
      <x:c r="AC12" s="45" t="n">
        <x:v>0.8764705882352941</x:v>
      </x:c>
      <x:c r="AD12" s="44" t="n">
        <x:v>0.7588235294117647</x:v>
      </x:c>
      <x:c r="AE12" s="44" t="n">
        <x:v>0.4235294117647058</x:v>
      </x:c>
      <x:c r="AF12" s="45" t="n">
        <x:v>0.6264705882352941</x:v>
      </x:c>
      <x:c r="AG12" s="45" t="n">
        <x:v>0.2647058823529412</x:v>
      </x:c>
      <x:c r="AH12" s="44" t="n">
        <x:v>0.38235294117647056</x:v>
      </x:c>
      <x:c r="AI12" s="44" t="n">
        <x:v>0.2647058823529412</x:v>
      </x:c>
      <x:c r="AJ12" s="45" t="n">
        <x:v>0.14705882352941177</x:v>
      </x:c>
      <x:c r="AK12" s="45" t="n">
        <x:v>0.4842592592592592</x:v>
      </x:c>
      <x:c r="AL12" s="45" t="n">
        <x:v>0.45847857661583147</x:v>
      </x:c>
      <x:c r="AM12" s="44" t="n">
        <x:v>0.4455882352941176</x:v>
      </x:c>
    </x:row>
    <x:row r="13" ht="15" hidden="0" customHeight="1">
      <x:c r="A13" s="44" t="str">
        <x:v>139-003</x:v>
      </x:c>
      <x:c r="B13" s="44" t="str">
        <x:v>Bhir Mound</x:v>
      </x:c>
      <x:c r="C13" s="44" t="n">
        <x:v>250</x:v>
      </x:c>
      <x:c r="D13" s="44" t="str">
        <x:v>E2019</x:v>
      </x:c>
      <x:c r="E13" s="44" t="n">
        <x:v>2019</x:v>
      </x:c>
      <x:c r="F13" s="44" t="n">
        <x:v>152</x:v>
      </x:c>
      <x:c r="G13" s="45" t="n">
        <x:v>0.4520912766456604</x:v>
      </x:c>
      <x:c r="H13" s="44" t="n">
        <x:v>0.3756144046783447</x:v>
      </x:c>
      <x:c r="I13" s="44" t="n">
        <x:v>0.5210358500480652</x:v>
      </x:c>
      <x:c r="J13" s="45" t="n">
        <x:v>-0.045249469578266144</x:v>
      </x:c>
      <x:c r="K13" s="44" t="n">
        <x:v>-0.11160331219434738</x:v>
      </x:c>
      <x:c r="L13" s="44" t="n">
        <x:v>0.002979711862280965</x:v>
      </x:c>
      <x:c r="M13" s="45" t="n">
        <x:v>-0.453946053981781</x:v>
      </x:c>
      <x:c r="N13" s="44" t="n">
        <x:v>-0.4747748076915741</x:v>
      </x:c>
      <x:c r="O13" s="44" t="n">
        <x:v>-0.39161261916160583</x:v>
      </x:c>
      <x:c r="P13" s="45" t="n">
        <x:v>0.025105975568294525</x:v>
      </x:c>
      <x:c r="Q13" s="44" t="n">
        <x:v>-0.032733816653490067</x:v>
      </x:c>
      <x:c r="R13" s="44" t="n">
        <x:v>0.06715281307697296</x:v>
      </x:c>
      <x:c r="S13" s="44" t="n">
        <x:v>152</x:v>
      </x:c>
      <x:c r="T13" s="44" t="n">
        <x:v>0.06578947368421052</x:v>
      </x:c>
      <x:c r="U13" s="44" t="n">
        <x:v>0</x:v>
      </x:c>
      <x:c r="V13" s="44" t="n">
        <x:v>0.29605263157894735</x:v>
      </x:c>
      <x:c r="W13" s="44" t="n">
        <x:v>0.09868421052631579</x:v>
      </x:c>
      <x:c r="X13" s="44" t="n">
        <x:v>0.5394736842105263</x:v>
      </x:c>
      <x:c r="Y13" s="44" t="n">
        <x:v>0</x:v>
      </x:c>
      <x:c r="Z13" s="44" t="n">
        <x:v>0.38235294117647056</x:v>
      </x:c>
      <x:c r="AA13" s="45" t="n">
        <x:v>0.888235294117647</x:v>
      </x:c>
      <x:c r="AB13" s="45" t="n">
        <x:v>0.5705882352941176</x:v>
      </x:c>
      <x:c r="AC13" s="45" t="n">
        <x:v>0.5117647058823529</x:v>
      </x:c>
      <x:c r="AD13" s="44" t="n">
        <x:v>0.3235294117647059</x:v>
      </x:c>
      <x:c r="AE13" s="44" t="n">
        <x:v>0.4764705882352941</x:v>
      </x:c>
      <x:c r="AF13" s="45" t="n">
        <x:v>0.6823529411764706</x:v>
      </x:c>
      <x:c r="AG13" s="45" t="n">
        <x:v>0.2647058823529412</x:v>
      </x:c>
      <x:c r="AH13" s="44" t="n">
        <x:v>0.38235294117647056</x:v>
      </x:c>
      <x:c r="AI13" s="44" t="n">
        <x:v>0.2647058823529412</x:v>
      </x:c>
      <x:c r="AJ13" s="45" t="n">
        <x:v>0.14705882352941177</x:v>
      </x:c>
      <x:c r="AK13" s="45" t="n">
        <x:v>0.3138888888888889</x:v>
      </x:c>
      <x:c r="AL13" s="45" t="n">
        <x:v>0.42031590413943354</x:v>
      </x:c>
      <x:c r="AM13" s="44" t="n">
        <x:v>0.47352941176470587</x:v>
      </x:c>
    </x:row>
    <x:row r="14" ht="15" hidden="0" customHeight="1">
      <x:c r="A14" s="44" t="str">
        <x:v>139-003</x:v>
      </x:c>
      <x:c r="B14" s="44" t="str">
        <x:v>Bhir Mound</x:v>
      </x:c>
      <x:c r="C14" s="44" t="n">
        <x:v>250</x:v>
      </x:c>
      <x:c r="D14" s="44" t="str">
        <x:v>E2024</x:v>
      </x:c>
      <x:c r="E14" s="44" t="n">
        <x:v>2024</x:v>
      </x:c>
      <x:c r="F14" s="44" t="n">
        <x:v>205</x:v>
      </x:c>
      <x:c r="G14" s="45" t="n">
        <x:v>0.4699966013431549</x:v>
      </x:c>
      <x:c r="H14" s="44" t="n">
        <x:v>0.29966333508491516</x:v>
      </x:c>
      <x:c r="I14" s="44" t="n">
        <x:v>0.5615787506103516</x:v>
      </x:c>
      <x:c r="J14" s="45" t="n">
        <x:v>-0.061597757041454315</x:v>
      </x:c>
      <x:c r="K14" s="44" t="n">
        <x:v>-0.14408466219902039</x:v>
      </x:c>
      <x:c r="L14" s="44" t="n">
        <x:v>0.013405621983110905</x:v>
      </x:c>
      <x:c r="M14" s="45" t="n">
        <x:v>-0.4357256591320038</x:v>
      </x:c>
      <x:c r="N14" s="44" t="n">
        <x:v>-0.4679192304611206</x:v>
      </x:c>
      <x:c r="O14" s="44" t="n">
        <x:v>-0.33295193314552307</x:v>
      </x:c>
      <x:c r="P14" s="45" t="n">
        <x:v>0.01285824179649353</x:v>
      </x:c>
      <x:c r="Q14" s="44" t="n">
        <x:v>-0.06568585336208344</x:v>
      </x:c>
      <x:c r="R14" s="44" t="n">
        <x:v>0.08113329857587814</x:v>
      </x:c>
      <x:c r="S14" s="44" t="n">
        <x:v>205</x:v>
      </x:c>
      <x:c r="T14" s="44" t="n">
        <x:v>0.23902439024390243</x:v>
      </x:c>
      <x:c r="U14" s="44" t="n">
        <x:v>0</x:v>
      </x:c>
      <x:c r="V14" s="44" t="n">
        <x:v>0.2</x:v>
      </x:c>
      <x:c r="W14" s="44" t="n">
        <x:v>0.2048780487804878</x:v>
      </x:c>
      <x:c r="X14" s="44" t="n">
        <x:v>0.35609756097560974</x:v>
      </x:c>
      <x:c r="Y14" s="44" t="n">
        <x:v>0</x:v>
      </x:c>
      <x:c r="Z14" s="44" t="n">
        <x:v>0.28823529411764703</x:v>
      </x:c>
      <x:c r="AA14" s="45" t="n">
        <x:v>0.7588235294117647</x:v>
      </x:c>
      <x:c r="AB14" s="45" t="n">
        <x:v>0.4294117647058823</x:v>
      </x:c>
      <x:c r="AC14" s="45" t="n">
        <x:v>0.9235294117647059</x:v>
      </x:c>
      <x:c r="AD14" s="44" t="n">
        <x:v>0.3235294117647059</x:v>
      </x:c>
      <x:c r="AE14" s="44" t="n">
        <x:v>0.35882352941176465</x:v>
      </x:c>
      <x:c r="AF14" s="45" t="n">
        <x:v>0.5588235294117647</x:v>
      </x:c>
      <x:c r="AG14" s="45" t="n">
        <x:v>0.2647058823529412</x:v>
      </x:c>
      <x:c r="AH14" s="44" t="n">
        <x:v>0.38235294117647056</x:v>
      </x:c>
      <x:c r="AI14" s="44" t="n">
        <x:v>0.2647058823529412</x:v>
      </x:c>
      <x:c r="AJ14" s="45" t="n">
        <x:v>0.14705882352941177</x:v>
      </x:c>
      <x:c r="AK14" s="45" t="n">
        <x:v>0.5259259259259259</x:v>
      </x:c>
      <x:c r="AL14" s="45" t="n">
        <x:v>0.44981844589687725</x:v>
      </x:c>
      <x:c r="AM14" s="44" t="n">
        <x:v>0.4117647058823529</x:v>
      </x:c>
    </x:row>
    <x:row r="15" ht="15" hidden="0" customHeight="1">
      <x:c r="A15" s="44" t="str">
        <x:v>139-004</x:v>
      </x:c>
      <x:c r="B15" s="44" t="str">
        <x:v>Sirkap (fortified city)</x:v>
      </x:c>
      <x:c r="C15" s="44" t="n">
        <x:v>250</x:v>
      </x:c>
      <x:c r="D15" s="44" t="str">
        <x:v>E2004</x:v>
      </x:c>
      <x:c r="E15" s="44" t="n">
        <x:v>2004</x:v>
      </x:c>
      <x:c r="F15" s="44" t="n">
        <x:v>219</x:v>
      </x:c>
      <x:c r="G15" s="45" t="n">
        <x:v>0.31075242161750793</x:v>
      </x:c>
      <x:c r="H15" s="44" t="n">
        <x:v>0.26026052236557007</x:v>
      </x:c>
      <x:c r="I15" s="44" t="n">
        <x:v>0.4544609785079956</x:v>
      </x:c>
      <x:c r="J15" s="45" t="n">
        <x:v>0.03287586197257042</x:v>
      </x:c>
      <x:c r="K15" s="44" t="n">
        <x:v>-0.06746658682823181</x:v>
      </x:c>
      <x:c r="L15" s="44" t="n">
        <x:v>0.06104611977934837</x:v>
      </x:c>
      <x:c r="M15" s="45" t="n">
        <x:v>-0.4300796687602997</x:v>
      </x:c>
      <x:c r="N15" s="44" t="n">
        <x:v>-0.4581452012062073</x:v>
      </x:c>
      <x:c r="O15" s="44" t="n">
        <x:v>-0.4033938944339752</x:v>
      </x:c>
      <x:c r="P15" s="45" t="n">
        <x:v>0.10821005702018738</x:v>
      </x:c>
      <x:c r="Q15" s="44" t="n">
        <x:v>0.012084399349987507</x:v>
      </x:c>
      <x:c r="R15" s="44" t="n">
        <x:v>0.1384991556406021</x:v>
      </x:c>
      <x:c r="S15" s="44" t="n">
        <x:v>219</x:v>
      </x:c>
      <x:c r="T15" s="44" t="n">
        <x:v>0</x:v>
      </x:c>
      <x:c r="U15" s="44" t="n">
        <x:v>0.0136986301369863</x:v>
      </x:c>
      <x:c r="V15" s="44" t="n">
        <x:v>0.6621004566210046</x:v>
      </x:c>
      <x:c r="W15" s="44" t="n">
        <x:v>0.0091324200913242</x:v>
      </x:c>
      <x:c r="X15" s="44" t="n">
        <x:v>0.3150684931506849</x:v>
      </x:c>
      <x:c r="Y15" s="44" t="n">
        <x:v>0</x:v>
      </x:c>
      <x:c r="Z15" s="44" t="n">
        <x:v>0.9705882352941176</x:v>
      </x:c>
      <x:c r="AA15" s="45" t="n">
        <x:v>0.6411764705882353</x:v>
      </x:c>
      <x:c r="AB15" s="45" t="n">
        <x:v>0.9588235294117647</x:v>
      </x:c>
      <x:c r="AC15" s="45" t="n">
        <x:v>0.12352941176470589</x:v>
      </x:c>
      <x:c r="AD15" s="44" t="n">
        <x:v>0.7411764705882353</x:v>
      </x:c>
      <x:c r="AE15" s="44" t="n">
        <x:v>0.9647058823529412</x:v>
      </x:c>
      <x:c r="AF15" s="45" t="n">
        <x:v>0.8029411764705883</x:v>
      </x:c>
      <x:c r="AG15" s="45" t="n">
        <x:v>0.2647058823529412</x:v>
      </x:c>
      <x:c r="AH15" s="44" t="n">
        <x:v>0.2647058823529412</x:v>
      </x:c>
      <x:c r="AI15" s="44" t="n">
        <x:v>0.3235294117647059</x:v>
      </x:c>
      <x:c r="AJ15" s="45" t="n">
        <x:v>0.20588235294117646</x:v>
      </x:c>
      <x:c r="AK15" s="45" t="n">
        <x:v>0.5166666666666666</x:v>
      </x:c>
      <x:c r="AL15" s="45" t="n">
        <x:v>0.5281045751633987</x:v>
      </x:c>
      <x:c r="AM15" s="44" t="n">
        <x:v>0.5338235294117647</x:v>
      </x:c>
    </x:row>
    <x:row r="16" ht="15" hidden="0" customHeight="1">
      <x:c r="A16" s="44" t="str">
        <x:v>139-004</x:v>
      </x:c>
      <x:c r="B16" s="44" t="str">
        <x:v>Sirkap (fortified city)</x:v>
      </x:c>
      <x:c r="C16" s="44" t="n">
        <x:v>250</x:v>
      </x:c>
      <x:c r="D16" s="44" t="str">
        <x:v>E2009</x:v>
      </x:c>
      <x:c r="E16" s="44" t="n">
        <x:v>2009</x:v>
      </x:c>
      <x:c r="F16" s="44" t="n">
        <x:v>219</x:v>
      </x:c>
      <x:c r="G16" s="45" t="n">
        <x:v>0.29445523023605347</x:v>
      </x:c>
      <x:c r="H16" s="44" t="n">
        <x:v>0.23515555262565613</x:v>
      </x:c>
      <x:c r="I16" s="44" t="n">
        <x:v>0.42550623416900635</x:v>
      </x:c>
      <x:c r="J16" s="45" t="n">
        <x:v>0.04505958780646324</x:v>
      </x:c>
      <x:c r="K16" s="44" t="n">
        <x:v>-0.03642722964286804</x:v>
      </x:c>
      <x:c r="L16" s="44" t="n">
        <x:v>0.07773283869028091</x:v>
      </x:c>
      <x:c r="M16" s="45" t="n">
        <x:v>-0.42654329538345337</x:v>
      </x:c>
      <x:c r="N16" s="44" t="n">
        <x:v>-0.4548778235912323</x:v>
      </x:c>
      <x:c r="O16" s="44" t="n">
        <x:v>-0.40103691816329956</x:v>
      </x:c>
      <x:c r="P16" s="45" t="n">
        <x:v>0.11801429092884064</x:v>
      </x:c>
      <x:c r="Q16" s="44" t="n">
        <x:v>0.030323754996061325</x:v>
      </x:c>
      <x:c r="R16" s="44" t="n">
        <x:v>0.1470663845539093</x:v>
      </x:c>
      <x:c r="S16" s="44" t="n">
        <x:v>219</x:v>
      </x:c>
      <x:c r="T16" s="44" t="n">
        <x:v>0.0182648401826484</x:v>
      </x:c>
      <x:c r="U16" s="44" t="n">
        <x:v>0.1415525114155251</x:v>
      </x:c>
      <x:c r="V16" s="44" t="n">
        <x:v>0.5251141552511416</x:v>
      </x:c>
      <x:c r="W16" s="44" t="n">
        <x:v>0</x:v>
      </x:c>
      <x:c r="X16" s="44" t="n">
        <x:v>0.3150684931506849</x:v>
      </x:c>
      <x:c r="Y16" s="44" t="n">
        <x:v>0</x:v>
      </x:c>
      <x:c r="Z16" s="44" t="n">
        <x:v>0.9823529411764705</x:v>
      </x:c>
      <x:c r="AA16" s="45" t="n">
        <x:v>0.5705882352941176</x:v>
      </x:c>
      <x:c r="AB16" s="45" t="n">
        <x:v>0.9941176470588236</x:v>
      </x:c>
      <x:c r="AC16" s="45" t="n">
        <x:v>0.4117647058823529</x:v>
      </x:c>
      <x:c r="AD16" s="44" t="n">
        <x:v>0.9352941176470588</x:v>
      </x:c>
      <x:c r="AE16" s="44" t="n">
        <x:v>0.9882352941176471</x:v>
      </x:c>
      <x:c r="AF16" s="45" t="n">
        <x:v>0.7794117647058824</x:v>
      </x:c>
      <x:c r="AG16" s="45" t="n">
        <x:v>0.2647058823529412</x:v>
      </x:c>
      <x:c r="AH16" s="44" t="n">
        <x:v>0.2647058823529412</x:v>
      </x:c>
      <x:c r="AI16" s="44" t="n">
        <x:v>0.3235294117647059</x:v>
      </x:c>
      <x:c r="AJ16" s="45" t="n">
        <x:v>0.20588235294117646</x:v>
      </x:c>
      <x:c r="AK16" s="45" t="n">
        <x:v>0.462037037037037</x:v>
      </x:c>
      <x:c r="AL16" s="45" t="n">
        <x:v>0.5020515613652868</x:v>
      </x:c>
      <x:c r="AM16" s="44" t="n">
        <x:v>0.5220588235294118</x:v>
      </x:c>
    </x:row>
    <x:row r="17" ht="15" hidden="0" customHeight="1">
      <x:c r="A17" s="44" t="str">
        <x:v>139-004</x:v>
      </x:c>
      <x:c r="B17" s="44" t="str">
        <x:v>Sirkap (fortified city)</x:v>
      </x:c>
      <x:c r="C17" s="44" t="n">
        <x:v>250</x:v>
      </x:c>
      <x:c r="D17" s="44" t="str">
        <x:v>E2014</x:v>
      </x:c>
      <x:c r="E17" s="44" t="n">
        <x:v>2014</x:v>
      </x:c>
      <x:c r="F17" s="44" t="n">
        <x:v>219</x:v>
      </x:c>
      <x:c r="G17" s="45" t="n">
        <x:v>0.3285945951938629</x:v>
      </x:c>
      <x:c r="H17" s="44" t="n">
        <x:v>0.24092286825180054</x:v>
      </x:c>
      <x:c r="I17" s="44" t="n">
        <x:v>0.5103806257247925</x:v>
      </x:c>
      <x:c r="J17" s="45" t="n">
        <x:v>0.018025677651166916</x:v>
      </x:c>
      <x:c r="K17" s="44" t="n">
        <x:v>-0.08050313591957092</x:v>
      </x:c>
      <x:c r="L17" s="44" t="n">
        <x:v>0.07289531081914902</x:v>
      </x:c>
      <x:c r="M17" s="45" t="n">
        <x:v>-0.40534114837646484</x:v>
      </x:c>
      <x:c r="N17" s="44" t="n">
        <x:v>-0.46608564257621765</x:v>
      </x:c>
      <x:c r="O17" s="44" t="n">
        <x:v>-0.37820833921432495</x:v>
      </x:c>
      <x:c r="P17" s="45" t="n">
        <x:v>0.0859866812825203</x:v>
      </x:c>
      <x:c r="Q17" s="44" t="n">
        <x:v>-0.012018800713121891</x:v>
      </x:c>
      <x:c r="R17" s="44" t="n">
        <x:v>0.13407841324806213</x:v>
      </x:c>
      <x:c r="S17" s="44" t="n">
        <x:v>219</x:v>
      </x:c>
      <x:c r="T17" s="44" t="n">
        <x:v>0.136986301369863</x:v>
      </x:c>
      <x:c r="U17" s="44" t="n">
        <x:v>0.0182648401826484</x:v>
      </x:c>
      <x:c r="V17" s="44" t="n">
        <x:v>0.54337899543379</x:v>
      </x:c>
      <x:c r="W17" s="44" t="n">
        <x:v>0.0821917808219178</x:v>
      </x:c>
      <x:c r="X17" s="44" t="n">
        <x:v>0.2191780821917808</x:v>
      </x:c>
      <x:c r="Y17" s="44" t="n">
        <x:v>0</x:v>
      </x:c>
      <x:c r="Z17" s="44" t="n">
        <x:v>0.9470588235294117</x:v>
      </x:c>
      <x:c r="AA17" s="45" t="n">
        <x:v>0.18235294117647058</x:v>
      </x:c>
      <x:c r="AB17" s="45" t="n">
        <x:v>0.9470588235294117</x:v>
      </x:c>
      <x:c r="AC17" s="45" t="n">
        <x:v>0.7352941176470589</x:v>
      </x:c>
      <x:c r="AD17" s="44" t="n">
        <x:v>0.7823529411764706</x:v>
      </x:c>
      <x:c r="AE17" s="44" t="n">
        <x:v>0.9470588235294117</x:v>
      </x:c>
      <x:c r="AF17" s="45" t="n">
        <x:v>0.5647058823529412</x:v>
      </x:c>
      <x:c r="AG17" s="45" t="n">
        <x:v>0.2647058823529412</x:v>
      </x:c>
      <x:c r="AH17" s="44" t="n">
        <x:v>0.2647058823529412</x:v>
      </x:c>
      <x:c r="AI17" s="44" t="n">
        <x:v>0.3235294117647059</x:v>
      </x:c>
      <x:c r="AJ17" s="45" t="n">
        <x:v>0.20588235294117646</x:v>
      </x:c>
      <x:c r="AK17" s="45" t="n">
        <x:v>0.4842592592592592</x:v>
      </x:c>
      <x:c r="AL17" s="45" t="n">
        <x:v>0.43789034132171384</x:v>
      </x:c>
      <x:c r="AM17" s="44" t="n">
        <x:v>0.41470588235294115</x:v>
      </x:c>
    </x:row>
    <x:row r="18" ht="15" hidden="0" customHeight="1">
      <x:c r="A18" s="44" t="str">
        <x:v>139-004</x:v>
      </x:c>
      <x:c r="B18" s="44" t="str">
        <x:v>Sirkap (fortified city)</x:v>
      </x:c>
      <x:c r="C18" s="44" t="n">
        <x:v>250</x:v>
      </x:c>
      <x:c r="D18" s="44" t="str">
        <x:v>E2019</x:v>
      </x:c>
      <x:c r="E18" s="44" t="n">
        <x:v>2019</x:v>
      </x:c>
      <x:c r="F18" s="44" t="n">
        <x:v>219</x:v>
      </x:c>
      <x:c r="G18" s="45" t="n">
        <x:v>0.39746204018592834</x:v>
      </x:c>
      <x:c r="H18" s="44" t="n">
        <x:v>0.29709938168525696</x:v>
      </x:c>
      <x:c r="I18" s="44" t="n">
        <x:v>0.5226053595542908</x:v>
      </x:c>
      <x:c r="J18" s="45" t="n">
        <x:v>-0.014020527713000774</x:v>
      </x:c>
      <x:c r="K18" s="44" t="n">
        <x:v>-0.07325255870819092</x:v>
      </x:c>
      <x:c r="L18" s="44" t="n">
        <x:v>0.03483176231384277</x:v>
      </x:c>
      <x:c r="M18" s="45" t="n">
        <x:v>-0.4296317994594574</x:v>
      </x:c>
      <x:c r="N18" s="44" t="n">
        <x:v>-0.4750698208808899</x:v>
      </x:c>
      <x:c r="O18" s="44" t="n">
        <x:v>-0.39199239015579224</x:v>
      </x:c>
      <x:c r="P18" s="45" t="n">
        <x:v>0.05553615838289261</x:v>
      </x:c>
      <x:c r="Q18" s="44" t="n">
        <x:v>-0.011356007307767868</x:v>
      </x:c>
      <x:c r="R18" s="44" t="n">
        <x:v>0.10284726321697235</x:v>
      </x:c>
      <x:c r="S18" s="44" t="n">
        <x:v>219</x:v>
      </x:c>
      <x:c r="T18" s="44" t="n">
        <x:v>0.0410958904109589</x:v>
      </x:c>
      <x:c r="U18" s="44" t="n">
        <x:v>0</x:v>
      </x:c>
      <x:c r="V18" s="44" t="n">
        <x:v>0.7031963470319634</x:v>
      </x:c>
      <x:c r="W18" s="44" t="n">
        <x:v>0.0776255707762557</x:v>
      </x:c>
      <x:c r="X18" s="44" t="n">
        <x:v>0.1780821917808219</x:v>
      </x:c>
      <x:c r="Y18" s="44" t="n">
        <x:v>0</x:v>
      </x:c>
      <x:c r="Z18" s="44" t="n">
        <x:v>0.6294117647058823</x:v>
      </x:c>
      <x:c r="AA18" s="45" t="n">
        <x:v>0.6294117647058823</x:v>
      </x:c>
      <x:c r="AB18" s="45" t="n">
        <x:v>0.8294117647058824</x:v>
      </x:c>
      <x:c r="AC18" s="45" t="n">
        <x:v>0.4647058823529412</x:v>
      </x:c>
      <x:c r="AD18" s="44" t="n">
        <x:v>0.3235294117647059</x:v>
      </x:c>
      <x:c r="AE18" s="44" t="n">
        <x:v>0.7294117647058824</x:v>
      </x:c>
      <x:c r="AF18" s="45" t="n">
        <x:v>0.6794117647058824</x:v>
      </x:c>
      <x:c r="AG18" s="45" t="n">
        <x:v>0.2647058823529412</x:v>
      </x:c>
      <x:c r="AH18" s="44" t="n">
        <x:v>0.2647058823529412</x:v>
      </x:c>
      <x:c r="AI18" s="44" t="n">
        <x:v>0.3235294117647059</x:v>
      </x:c>
      <x:c r="AJ18" s="45" t="n">
        <x:v>0.20588235294117646</x:v>
      </x:c>
      <x:c r="AK18" s="45" t="n">
        <x:v>0.3138888888888889</x:v>
      </x:c>
      <x:c r="AL18" s="45" t="n">
        <x:v>0.4193355119825708</x:v>
      </x:c>
      <x:c r="AM18" s="44" t="n">
        <x:v>0.47205882352941175</x:v>
      </x:c>
    </x:row>
    <x:row r="19" ht="15" hidden="0" customHeight="1">
      <x:c r="A19" s="44" t="str">
        <x:v>139-004</x:v>
      </x:c>
      <x:c r="B19" s="44" t="str">
        <x:v>Sirkap (fortified city)</x:v>
      </x:c>
      <x:c r="C19" s="44" t="n">
        <x:v>250</x:v>
      </x:c>
      <x:c r="D19" s="44" t="str">
        <x:v>E2024</x:v>
      </x:c>
      <x:c r="E19" s="44" t="n">
        <x:v>2024</x:v>
      </x:c>
      <x:c r="F19" s="44" t="n">
        <x:v>219</x:v>
      </x:c>
      <x:c r="G19" s="45" t="n">
        <x:v>0.42457327246665955</x:v>
      </x:c>
      <x:c r="H19" s="44" t="n">
        <x:v>0.276787668466568</x:v>
      </x:c>
      <x:c r="I19" s="44" t="n">
        <x:v>0.5888208150863647</x:v>
      </x:c>
      <x:c r="J19" s="45" t="n">
        <x:v>-0.037107743322849274</x:v>
      </x:c>
      <x:c r="K19" s="44" t="n">
        <x:v>-0.1492663323879242</x:v>
      </x:c>
      <x:c r="L19" s="44" t="n">
        <x:v>0.05816701799631119</x:v>
      </x:c>
      <x:c r="M19" s="45" t="n">
        <x:v>-0.43987879157066345</x:v>
      </x:c>
      <x:c r="N19" s="44" t="n">
        <x:v>-0.4707590937614441</x:v>
      </x:c>
      <x:c r="O19" s="44" t="n">
        <x:v>-0.402980774641037</x:v>
      </x:c>
      <x:c r="P19" s="45" t="n">
        <x:v>0.035391755402088165</x:v>
      </x:c>
      <x:c r="Q19" s="44" t="n">
        <x:v>-0.07367118448019028</x:v>
      </x:c>
      <x:c r="R19" s="44" t="n">
        <x:v>0.11794542521238327</x:v>
      </x:c>
      <x:c r="S19" s="44" t="n">
        <x:v>219</x:v>
      </x:c>
      <x:c r="T19" s="44" t="n">
        <x:v>0.0228310502283105</x:v>
      </x:c>
      <x:c r="U19" s="44" t="n">
        <x:v>0.0045662100456621</x:v>
      </x:c>
      <x:c r="V19" s="44" t="n">
        <x:v>0.5342465753424658</x:v>
      </x:c>
      <x:c r="W19" s="44" t="n">
        <x:v>0.2054794520547945</x:v>
      </x:c>
      <x:c r="X19" s="44" t="n">
        <x:v>0.2328767123287671</x:v>
      </x:c>
      <x:c r="Y19" s="44" t="n">
        <x:v>0</x:v>
      </x:c>
      <x:c r="Z19" s="44" t="n">
        <x:v>0.5</x:v>
      </x:c>
      <x:c r="AA19" s="45" t="n">
        <x:v>0.7941176470588235</x:v>
      </x:c>
      <x:c r="AB19" s="45" t="n">
        <x:v>0.6411764705882353</x:v>
      </x:c>
      <x:c r="AC19" s="45" t="n">
        <x:v>0.4294117647058823</x:v>
      </x:c>
      <x:c r="AD19" s="44" t="n">
        <x:v>0.6823529411764706</x:v>
      </x:c>
      <x:c r="AE19" s="44" t="n">
        <x:v>0.5705882352941176</x:v>
      </x:c>
      <x:c r="AF19" s="45" t="n">
        <x:v>0.6823529411764706</x:v>
      </x:c>
      <x:c r="AG19" s="45" t="n">
        <x:v>0.2647058823529412</x:v>
      </x:c>
      <x:c r="AH19" s="44" t="n">
        <x:v>0.2647058823529412</x:v>
      </x:c>
      <x:c r="AI19" s="44" t="n">
        <x:v>0.3235294117647059</x:v>
      </x:c>
      <x:c r="AJ19" s="45" t="n">
        <x:v>0.20588235294117646</x:v>
      </x:c>
      <x:c r="AK19" s="45" t="n">
        <x:v>0.5259259259259259</x:v>
      </x:c>
      <x:c r="AL19" s="45" t="n">
        <x:v>0.49099491648511256</x:v>
      </x:c>
      <x:c r="AM19" s="44" t="n">
        <x:v>0.47352941176470587</x:v>
      </x:c>
    </x:row>
    <x:row r="20" ht="15" hidden="0" customHeight="1">
      <x:c r="A20" s="44" t="str">
        <x:v>139-005</x:v>
      </x:c>
      <x:c r="B20" s="44" t="str">
        <x:v>Sirsukh (fortified ruined city)</x:v>
      </x:c>
      <x:c r="C20" s="44" t="n">
        <x:v>250</x:v>
      </x:c>
      <x:c r="D20" s="44" t="str">
        <x:v>E2004</x:v>
      </x:c>
      <x:c r="E20" s="44" t="n">
        <x:v>2004</x:v>
      </x:c>
      <x:c r="F20" s="44" t="n">
        <x:v>220</x:v>
      </x:c>
      <x:c r="G20" s="45" t="n">
        <x:v>0.4535936713218689</x:v>
      </x:c>
      <x:c r="H20" s="44" t="n">
        <x:v>0.3480023741722107</x:v>
      </x:c>
      <x:c r="I20" s="44" t="n">
        <x:v>0.5001429319381714</x:v>
      </x:c>
      <x:c r="J20" s="45" t="n">
        <x:v>-0.06115564703941345</x:v>
      </x:c>
      <x:c r="K20" s="44" t="n">
        <x:v>-0.12659908831119537</x:v>
      </x:c>
      <x:c r="L20" s="44" t="n">
        <x:v>0.016980407759547234</x:v>
      </x:c>
      <x:c r="M20" s="45" t="n">
        <x:v>-0.4346964359283447</x:v>
      </x:c>
      <x:c r="N20" s="44" t="n">
        <x:v>-0.45806270837783813</x:v>
      </x:c>
      <x:c r="O20" s="44" t="n">
        <x:v>-0.41459956765174866</x:v>
      </x:c>
      <x:c r="P20" s="45" t="n">
        <x:v>0.013948106206953526</x:v>
      </x:c>
      <x:c r="Q20" s="44" t="n">
        <x:v>-0.036998387426137924</x:v>
      </x:c>
      <x:c r="R20" s="44" t="n">
        <x:v>0.08895286917686462</x:v>
      </x:c>
      <x:c r="S20" s="44" t="n">
        <x:v>220</x:v>
      </x:c>
      <x:c r="T20" s="44" t="n">
        <x:v>0</x:v>
      </x:c>
      <x:c r="U20" s="44" t="n">
        <x:v>0</x:v>
      </x:c>
      <x:c r="V20" s="44" t="n">
        <x:v>0.6045454545454545</x:v>
      </x:c>
      <x:c r="W20" s="44" t="n">
        <x:v>0.09090909090909091</x:v>
      </x:c>
      <x:c r="X20" s="44" t="n">
        <x:v>0.30454545454545456</x:v>
      </x:c>
      <x:c r="Y20" s="44" t="n">
        <x:v>0</x:v>
      </x:c>
      <x:c r="Z20" s="44" t="n">
        <x:v>0.37058823529411766</x:v>
      </x:c>
      <x:c r="AA20" s="45" t="n">
        <x:v>0.7352941176470589</x:v>
      </x:c>
      <x:c r="AB20" s="45" t="n">
        <x:v>0.4411764705882353</x:v>
      </x:c>
      <x:c r="AC20" s="45" t="n">
        <x:v>0.12352941176470589</x:v>
      </x:c>
      <x:c r="AD20" s="44" t="n">
        <x:v>0.3235294117647059</x:v>
      </x:c>
      <x:c r="AE20" s="44" t="n">
        <x:v>0.40588235294117647</x:v>
      </x:c>
      <x:c r="AF20" s="45" t="n">
        <x:v>0.5705882352941176</x:v>
      </x:c>
      <x:c r="AG20" s="45" t="n">
        <x:v>0.4313725490196078</x:v>
      </x:c>
      <x:c r="AH20" s="44" t="n">
        <x:v>0.08823529411764706</x:v>
      </x:c>
      <x:c r="AI20" s="44" t="n">
        <x:v>0.9411764705882353</x:v>
      </x:c>
      <x:c r="AJ20" s="45" t="n">
        <x:v>0.2647058823529412</x:v>
      </x:c>
      <x:c r="AK20" s="45" t="n">
        <x:v>0.5166666666666666</x:v>
      </x:c>
      <x:c r="AL20" s="45" t="n">
        <x:v>0.5062091503267974</x:v>
      </x:c>
      <x:c r="AM20" s="44" t="n">
        <x:v>0.5009803921568627</x:v>
      </x:c>
    </x:row>
    <x:row r="21" ht="15" hidden="0" customHeight="1">
      <x:c r="A21" s="44" t="str">
        <x:v>139-005</x:v>
      </x:c>
      <x:c r="B21" s="44" t="str">
        <x:v>Sirsukh (fortified ruined city)</x:v>
      </x:c>
      <x:c r="C21" s="44" t="n">
        <x:v>250</x:v>
      </x:c>
      <x:c r="D21" s="44" t="str">
        <x:v>E2009</x:v>
      </x:c>
      <x:c r="E21" s="44" t="n">
        <x:v>2009</x:v>
      </x:c>
      <x:c r="F21" s="44" t="n">
        <x:v>220</x:v>
      </x:c>
      <x:c r="G21" s="45" t="n">
        <x:v>0.44384753704071045</x:v>
      </x:c>
      <x:c r="H21" s="44" t="n">
        <x:v>0.3493710458278656</x:v>
      </x:c>
      <x:c r="I21" s="44" t="n">
        <x:v>0.512880265712738</x:v>
      </x:c>
      <x:c r="J21" s="45" t="n">
        <x:v>-0.06268888711929321</x:v>
      </x:c>
      <x:c r="K21" s="44" t="n">
        <x:v>-0.11688733100891113</x:v>
      </x:c>
      <x:c r="L21" s="44" t="n">
        <x:v>0.0076200044713914394</x:v>
      </x:c>
      <x:c r="M21" s="45" t="n">
        <x:v>-0.4327507019042969</x:v>
      </x:c>
      <x:c r="N21" s="44" t="n">
        <x:v>-0.44937634468078613</x:v>
      </x:c>
      <x:c r="O21" s="44" t="n">
        <x:v>-0.413840651512146</x:v>
      </x:c>
      <x:c r="P21" s="45" t="n">
        <x:v>0.010863141156733036</x:v>
      </x:c>
      <x:c r="Q21" s="44" t="n">
        <x:v>-0.04034700244665146</x:v>
      </x:c>
      <x:c r="R21" s="44" t="n">
        <x:v>0.07942437380552292</x:v>
      </x:c>
      <x:c r="S21" s="44" t="n">
        <x:v>220</x:v>
      </x:c>
      <x:c r="T21" s="44" t="n">
        <x:v>0</x:v>
      </x:c>
      <x:c r="U21" s="44" t="n">
        <x:v>0</x:v>
      </x:c>
      <x:c r="V21" s="44" t="n">
        <x:v>0.75</x:v>
      </x:c>
      <x:c r="W21" s="44" t="n">
        <x:v>0.10454545454545454</x:v>
      </x:c>
      <x:c r="X21" s="44" t="n">
        <x:v>0.14545454545454545</x:v>
      </x:c>
      <x:c r="Y21" s="44" t="n">
        <x:v>0</x:v>
      </x:c>
      <x:c r="Z21" s="44" t="n">
        <x:v>0.4176470588235294</x:v>
      </x:c>
      <x:c r="AA21" s="45" t="n">
        <x:v>0.7</x:v>
      </x:c>
      <x:c r="AB21" s="45" t="n">
        <x:v>0.40588235294117647</x:v>
      </x:c>
      <x:c r="AC21" s="45" t="n">
        <x:v>0.12352941176470589</x:v>
      </x:c>
      <x:c r="AD21" s="44" t="n">
        <x:v>0.3235294117647059</x:v>
      </x:c>
      <x:c r="AE21" s="44" t="n">
        <x:v>0.4117647058823529</x:v>
      </x:c>
      <x:c r="AF21" s="45" t="n">
        <x:v>0.5558823529411765</x:v>
      </x:c>
      <x:c r="AG21" s="45" t="n">
        <x:v>0.4313725490196078</x:v>
      </x:c>
      <x:c r="AH21" s="44" t="n">
        <x:v>0.08823529411764706</x:v>
      </x:c>
      <x:c r="AI21" s="44" t="n">
        <x:v>0.9411764705882353</x:v>
      </x:c>
      <x:c r="AJ21" s="45" t="n">
        <x:v>0.2647058823529412</x:v>
      </x:c>
      <x:c r="AK21" s="45" t="n">
        <x:v>0.462037037037037</x:v>
      </x:c>
      <x:c r="AL21" s="45" t="n">
        <x:v>0.4830973129992738</x:v>
      </x:c>
      <x:c r="AM21" s="44" t="n">
        <x:v>0.4936274509803922</x:v>
      </x:c>
    </x:row>
    <x:row r="22" ht="15" hidden="0" customHeight="1">
      <x:c r="A22" s="44" t="str">
        <x:v>139-005</x:v>
      </x:c>
      <x:c r="B22" s="44" t="str">
        <x:v>Sirsukh (fortified ruined city)</x:v>
      </x:c>
      <x:c r="C22" s="44" t="n">
        <x:v>250</x:v>
      </x:c>
      <x:c r="D22" s="44" t="str">
        <x:v>E2014</x:v>
      </x:c>
      <x:c r="E22" s="44" t="n">
        <x:v>2014</x:v>
      </x:c>
      <x:c r="F22" s="44" t="n">
        <x:v>220</x:v>
      </x:c>
      <x:c r="G22" s="45" t="n">
        <x:v>0.49761998653411865</x:v>
      </x:c>
      <x:c r="H22" s="44" t="n">
        <x:v>0.39681732654571533</x:v>
      </x:c>
      <x:c r="I22" s="44" t="n">
        <x:v>0.6108987331390381</x:v>
      </x:c>
      <x:c r="J22" s="45" t="n">
        <x:v>-0.10105745494365692</x:v>
      </x:c>
      <x:c r="K22" s="44" t="n">
        <x:v>-0.1931537538766861</x:v>
      </x:c>
      <x:c r="L22" s="44" t="n">
        <x:v>-0.005836052354425192</x:v>
      </x:c>
      <x:c r="M22" s="45" t="n">
        <x:v>-0.43172043561935425</x:v>
      </x:c>
      <x:c r="N22" s="44" t="n">
        <x:v>-0.46018725633621216</x:v>
      </x:c>
      <x:c r="O22" s="44" t="n">
        <x:v>-0.41347283124923706</x:v>
      </x:c>
      <x:c r="P22" s="45" t="n">
        <x:v>-0.01959935575723648</x:v>
      </x:c>
      <x:c r="Q22" s="44" t="n">
        <x:v>-0.11646615713834763</x:v>
      </x:c>
      <x:c r="R22" s="44" t="n">
        <x:v>0.059343066066503525</x:v>
      </x:c>
      <x:c r="S22" s="44" t="n">
        <x:v>220</x:v>
      </x:c>
      <x:c r="T22" s="44" t="n">
        <x:v>0.00909090909090909</x:v>
      </x:c>
      <x:c r="U22" s="44" t="n">
        <x:v>0.01818181818181818</x:v>
      </x:c>
      <x:c r="V22" s="44" t="n">
        <x:v>0.36818181818181817</x:v>
      </x:c>
      <x:c r="W22" s="44" t="n">
        <x:v>0.4590909090909091</x:v>
      </x:c>
      <x:c r="X22" s="44" t="n">
        <x:v>0.14545454545454545</x:v>
      </x:c>
      <x:c r="Y22" s="44" t="n">
        <x:v>0</x:v>
      </x:c>
      <x:c r="Z22" s="44" t="n">
        <x:v>0.2647058823529412</x:v>
      </x:c>
      <x:c r="AA22" s="45" t="n">
        <x:v>0.6647058823529411</x:v>
      </x:c>
      <x:c r="AB22" s="45" t="n">
        <x:v>0.2411764705882353</x:v>
      </x:c>
      <x:c r="AC22" s="45" t="n">
        <x:v>0.3058823529411765</x:v>
      </x:c>
      <x:c r="AD22" s="44" t="n">
        <x:v>0.7705882352941177</x:v>
      </x:c>
      <x:c r="AE22" s="44" t="n">
        <x:v>0.2529411764705882</x:v>
      </x:c>
      <x:c r="AF22" s="45" t="n">
        <x:v>0.4588235294117647</x:v>
      </x:c>
      <x:c r="AG22" s="45" t="n">
        <x:v>0.4313725490196078</x:v>
      </x:c>
      <x:c r="AH22" s="44" t="n">
        <x:v>0.08823529411764706</x:v>
      </x:c>
      <x:c r="AI22" s="44" t="n">
        <x:v>0.9411764705882353</x:v>
      </x:c>
      <x:c r="AJ22" s="45" t="n">
        <x:v>0.2647058823529412</x:v>
      </x:c>
      <x:c r="AK22" s="45" t="n">
        <x:v>0.4842592592592592</x:v>
      </x:c>
      <x:c r="AL22" s="45" t="n">
        <x:v>0.45815177923021055</x:v>
      </x:c>
      <x:c r="AM22" s="44" t="n">
        <x:v>0.44509803921568625</x:v>
      </x:c>
    </x:row>
    <x:row r="23" ht="15" hidden="0" customHeight="1">
      <x:c r="A23" s="44" t="str">
        <x:v>139-005</x:v>
      </x:c>
      <x:c r="B23" s="44" t="str">
        <x:v>Sirsukh (fortified ruined city)</x:v>
      </x:c>
      <x:c r="C23" s="44" t="n">
        <x:v>250</x:v>
      </x:c>
      <x:c r="D23" s="44" t="str">
        <x:v>E2019</x:v>
      </x:c>
      <x:c r="E23" s="44" t="n">
        <x:v>2019</x:v>
      </x:c>
      <x:c r="F23" s="44" t="n">
        <x:v>220</x:v>
      </x:c>
      <x:c r="G23" s="45" t="n">
        <x:v>0.5246029496192932</x:v>
      </x:c>
      <x:c r="H23" s="44" t="n">
        <x:v>0.4241449236869812</x:v>
      </x:c>
      <x:c r="I23" s="44" t="n">
        <x:v>0.6090677380561829</x:v>
      </x:c>
      <x:c r="J23" s="45" t="n">
        <x:v>-0.13406360149383545</x:v>
      </x:c>
      <x:c r="K23" s="44" t="n">
        <x:v>-0.20375686883926392</x:v>
      </x:c>
      <x:c r="L23" s="44" t="n">
        <x:v>-0.0503687858581543</x:v>
      </x:c>
      <x:c r="M23" s="45" t="n">
        <x:v>-0.4208154082298279</x:v>
      </x:c>
      <x:c r="N23" s="44" t="n">
        <x:v>-0.4419640004634857</x:v>
      </x:c>
      <x:c r="O23" s="44" t="n">
        <x:v>-0.40042054653167725</x:v>
      </x:c>
      <x:c r="P23" s="45" t="n">
        <x:v>-0.046903908252716064</x:v>
      </x:c>
      <x:c r="Q23" s="44" t="n">
        <x:v>-0.11836909502744675</x:v>
      </x:c>
      <x:c r="R23" s="44" t="n">
        <x:v>0.027115171775221825</x:v>
      </x:c>
      <x:c r="S23" s="44" t="n">
        <x:v>220</x:v>
      </x:c>
      <x:c r="T23" s="44" t="n">
        <x:v>0.004545454545454545</x:v>
      </x:c>
      <x:c r="U23" s="44" t="n">
        <x:v>0</x:v>
      </x:c>
      <x:c r="V23" s="44" t="n">
        <x:v>0.4090909090909091</x:v>
      </x:c>
      <x:c r="W23" s="44" t="n">
        <x:v>0.5454545454545454</x:v>
      </x:c>
      <x:c r="X23" s="44" t="n">
        <x:v>0.04090909090909091</x:v>
      </x:c>
      <x:c r="Y23" s="44" t="n">
        <x:v>0</x:v>
      </x:c>
      <x:c r="Z23" s="44" t="n">
        <x:v>0.19411764705882353</x:v>
      </x:c>
      <x:c r="AA23" s="45" t="n">
        <x:v>0.4411764705882353</x:v>
      </x:c>
      <x:c r="AB23" s="45" t="n">
        <x:v>0.14705882352941177</x:v>
      </x:c>
      <x:c r="AC23" s="45" t="n">
        <x:v>0.2529411764705882</x:v>
      </x:c>
      <x:c r="AD23" s="44" t="n">
        <x:v>0.3235294117647059</x:v>
      </x:c>
      <x:c r="AE23" s="44" t="n">
        <x:v>0.17058823529411765</x:v>
      </x:c>
      <x:c r="AF23" s="45" t="n">
        <x:v>0.3058823529411765</x:v>
      </x:c>
      <x:c r="AG23" s="45" t="n">
        <x:v>0.4313725490196078</x:v>
      </x:c>
      <x:c r="AH23" s="44" t="n">
        <x:v>0.08823529411764706</x:v>
      </x:c>
      <x:c r="AI23" s="44" t="n">
        <x:v>0.9411764705882353</x:v>
      </x:c>
      <x:c r="AJ23" s="45" t="n">
        <x:v>0.2647058823529412</x:v>
      </x:c>
      <x:c r="AK23" s="45" t="n">
        <x:v>0.3138888888888889</x:v>
      </x:c>
      <x:c r="AL23" s="45" t="n">
        <x:v>0.35038126361655775</x:v>
      </x:c>
      <x:c r="AM23" s="44" t="n">
        <x:v>0.3686274509803922</x:v>
      </x:c>
    </x:row>
    <x:row r="24" ht="15" hidden="0" customHeight="1">
      <x:c r="A24" s="44" t="str">
        <x:v>139-005</x:v>
      </x:c>
      <x:c r="B24" s="44" t="str">
        <x:v>Sirsukh (fortified ruined city)</x:v>
      </x:c>
      <x:c r="C24" s="44" t="n">
        <x:v>250</x:v>
      </x:c>
      <x:c r="D24" s="44" t="str">
        <x:v>E2024</x:v>
      </x:c>
      <x:c r="E24" s="44" t="n">
        <x:v>2024</x:v>
      </x:c>
      <x:c r="F24" s="44" t="n">
        <x:v>220</x:v>
      </x:c>
      <x:c r="G24" s="45" t="n">
        <x:v>0.5286792516708374</x:v>
      </x:c>
      <x:c r="H24" s="44" t="n">
        <x:v>0.4203551411628723</x:v>
      </x:c>
      <x:c r="I24" s="44" t="n">
        <x:v>0.5928874611854553</x:v>
      </x:c>
      <x:c r="J24" s="45" t="n">
        <x:v>-0.11309895664453506</x:v>
      </x:c>
      <x:c r="K24" s="44" t="n">
        <x:v>-0.16509267687797546</x:v>
      </x:c>
      <x:c r="L24" s="44" t="n">
        <x:v>-0.038327209651470184</x:v>
      </x:c>
      <x:c r="M24" s="45" t="n">
        <x:v>-0.4496169686317444</x:v>
      </x:c>
      <x:c r="N24" s="44" t="n">
        <x:v>-0.47422733902931213</x:v>
      </x:c>
      <x:c r="O24" s="44" t="n">
        <x:v>-0.42354816198349</x:v>
      </x:c>
      <x:c r="P24" s="45" t="n">
        <x:v>-0.038180988281965256</x:v>
      </x:c>
      <x:c r="Q24" s="44" t="n">
        <x:v>-0.09004833549261093</x:v>
      </x:c>
      <x:c r="R24" s="44" t="n">
        <x:v>0.03650577366352081</x:v>
      </x:c>
      <x:c r="S24" s="44" t="n">
        <x:v>220</x:v>
      </x:c>
      <x:c r="T24" s="44" t="n">
        <x:v>0</x:v>
      </x:c>
      <x:c r="U24" s="44" t="n">
        <x:v>0</x:v>
      </x:c>
      <x:c r="V24" s="44" t="n">
        <x:v>0.35</x:v>
      </x:c>
      <x:c r="W24" s="44" t="n">
        <x:v>0.38636363636363635</x:v>
      </x:c>
      <x:c r="X24" s="44" t="n">
        <x:v>0.2636363636363636</x:v>
      </x:c>
      <x:c r="Y24" s="44" t="n">
        <x:v>0</x:v>
      </x:c>
      <x:c r="Z24" s="44" t="n">
        <x:v>0.17058823529411765</x:v>
      </x:c>
      <x:c r="AA24" s="45" t="n">
        <x:v>0.8647058823529412</x:v>
      </x:c>
      <x:c r="AB24" s="45" t="n">
        <x:v>0.20588235294117646</x:v>
      </x:c>
      <x:c r="AC24" s="45" t="n">
        <x:v>0.12352941176470589</x:v>
      </x:c>
      <x:c r="AD24" s="44" t="n">
        <x:v>0.3235294117647059</x:v>
      </x:c>
      <x:c r="AE24" s="44" t="n">
        <x:v>0.18823529411764706</x:v>
      </x:c>
      <x:c r="AF24" s="45" t="n">
        <x:v>0.5264705882352941</x:v>
      </x:c>
      <x:c r="AG24" s="45" t="n">
        <x:v>0.4313725490196078</x:v>
      </x:c>
      <x:c r="AH24" s="44" t="n">
        <x:v>0.08823529411764706</x:v>
      </x:c>
      <x:c r="AI24" s="44" t="n">
        <x:v>0.9411764705882353</x:v>
      </x:c>
      <x:c r="AJ24" s="45" t="n">
        <x:v>0.2647058823529412</x:v>
      </x:c>
      <x:c r="AK24" s="45" t="n">
        <x:v>0.5259259259259259</x:v>
      </x:c>
      <x:c r="AL24" s="45" t="n">
        <x:v>0.4945896877269426</x:v>
      </x:c>
      <x:c r="AM24" s="44" t="n">
        <x:v>0.47892156862745094</x:v>
      </x:c>
    </x:row>
    <x:row r="25" ht="15" hidden="0" customHeight="1">
      <x:c r="A25" s="44" t="str">
        <x:v>139-006</x:v>
      </x:c>
      <x:c r="B25" s="44" t="str">
        <x:v>Dharmarajika stupa and monastery</x:v>
      </x:c>
      <x:c r="C25" s="44" t="n">
        <x:v>250</x:v>
      </x:c>
      <x:c r="D25" s="44" t="str">
        <x:v>E2004</x:v>
      </x:c>
      <x:c r="E25" s="44" t="n">
        <x:v>2004</x:v>
      </x:c>
      <x:c r="F25" s="44" t="n">
        <x:v>219</x:v>
      </x:c>
      <x:c r="G25" s="45" t="n">
        <x:v>0.39385178685188293</x:v>
      </x:c>
      <x:c r="H25" s="44" t="n">
        <x:v>0.2655070126056671</x:v>
      </x:c>
      <x:c r="I25" s="44" t="n">
        <x:v>0.47249892354011536</x:v>
      </x:c>
      <x:c r="J25" s="45" t="n">
        <x:v>-0.023039691150188446</x:v>
      </x:c>
      <x:c r="K25" s="44" t="n">
        <x:v>-0.0940731093287468</x:v>
      </x:c>
      <x:c r="L25" s="44" t="n">
        <x:v>0.048968665301799774</x:v>
      </x:c>
      <x:c r="M25" s="45" t="n">
        <x:v>-0.44196435809135437</x:v>
      </x:c>
      <x:c r="N25" s="44" t="n">
        <x:v>-0.46336787939071655</x:v>
      </x:c>
      <x:c r="O25" s="44" t="n">
        <x:v>-0.4027937948703766</x:v>
      </x:c>
      <x:c r="P25" s="45" t="n">
        <x:v>0.05855861306190491</x:v>
      </x:c>
      <x:c r="Q25" s="44" t="n">
        <x:v>-0.01399950496852398</x:v>
      </x:c>
      <x:c r="R25" s="44" t="n">
        <x:v>0.1335863471031189</x:v>
      </x:c>
      <x:c r="S25" s="44" t="n">
        <x:v>219</x:v>
      </x:c>
      <x:c r="T25" s="44" t="n">
        <x:v>0</x:v>
      </x:c>
      <x:c r="U25" s="44" t="n">
        <x:v>0.0410958904109589</x:v>
      </x:c>
      <x:c r="V25" s="44" t="n">
        <x:v>0.6210045662100456</x:v>
      </x:c>
      <x:c r="W25" s="44" t="n">
        <x:v>0.0410958904109589</x:v>
      </x:c>
      <x:c r="X25" s="44" t="n">
        <x:v>0.2968036529680365</x:v>
      </x:c>
      <x:c r="Y25" s="44" t="n">
        <x:v>0</x:v>
      </x:c>
      <x:c r="Z25" s="44" t="n">
        <x:v>0.6529411764705882</x:v>
      </x:c>
      <x:c r="AA25" s="45" t="n">
        <x:v>0.8176470588235294</x:v>
      </x:c>
      <x:c r="AB25" s="45" t="n">
        <x:v>0.7588235294117647</x:v>
      </x:c>
      <x:c r="AC25" s="45" t="n">
        <x:v>0.12352941176470589</x:v>
      </x:c>
      <x:c r="AD25" s="44" t="n">
        <x:v>0.8294117647058824</x:v>
      </x:c>
      <x:c r="AE25" s="44" t="n">
        <x:v>0.7058823529411764</x:v>
      </x:c>
      <x:c r="AF25" s="45" t="n">
        <x:v>0.7617647058823529</x:v>
      </x:c>
      <x:c r="AG25" s="45" t="n">
        <x:v>0.5588235294117647</x:v>
      </x:c>
      <x:c r="AH25" s="44" t="n">
        <x:v>0.3235294117647059</x:v>
      </x:c>
      <x:c r="AI25" s="44" t="n">
        <x:v>0.7941176470588235</x:v>
      </x:c>
      <x:c r="AJ25" s="45" t="n">
        <x:v>0.5588235294117647</x:v>
      </x:c>
      <x:c r="AK25" s="45" t="n">
        <x:v>0.5166666666666666</x:v>
      </x:c>
      <x:c r="AL25" s="45" t="n">
        <x:v>0.6124183006535947</x:v>
      </x:c>
      <x:c r="AM25" s="44" t="n">
        <x:v>0.6602941176470588</x:v>
      </x:c>
    </x:row>
    <x:row r="26" ht="15" hidden="0" customHeight="1">
      <x:c r="A26" s="44" t="str">
        <x:v>139-006</x:v>
      </x:c>
      <x:c r="B26" s="44" t="str">
        <x:v>Dharmarajika stupa and monastery</x:v>
      </x:c>
      <x:c r="C26" s="44" t="n">
        <x:v>250</x:v>
      </x:c>
      <x:c r="D26" s="44" t="str">
        <x:v>E2009</x:v>
      </x:c>
      <x:c r="E26" s="44" t="n">
        <x:v>2009</x:v>
      </x:c>
      <x:c r="F26" s="44" t="n">
        <x:v>219</x:v>
      </x:c>
      <x:c r="G26" s="45" t="n">
        <x:v>0.3897852301597595</x:v>
      </x:c>
      <x:c r="H26" s="44" t="n">
        <x:v>0.25335392355918884</x:v>
      </x:c>
      <x:c r="I26" s="44" t="n">
        <x:v>0.45515426993370056</x:v>
      </x:c>
      <x:c r="J26" s="45" t="n">
        <x:v>-0.019850801676511765</x:v>
      </x:c>
      <x:c r="K26" s="44" t="n">
        <x:v>-0.09102623164653778</x:v>
      </x:c>
      <x:c r="L26" s="44" t="n">
        <x:v>0.042468685656785965</x:v>
      </x:c>
      <x:c r="M26" s="45" t="n">
        <x:v>-0.4167212247848511</x:v>
      </x:c>
      <x:c r="N26" s="44" t="n">
        <x:v>-0.4520382583141327</x:v>
      </x:c>
      <x:c r="O26" s="44" t="n">
        <x:v>-0.3898463547229767</x:v>
      </x:c>
      <x:c r="P26" s="45" t="n">
        <x:v>0.055862050503492355</x:v>
      </x:c>
      <x:c r="Q26" s="44" t="n">
        <x:v>-0.01353551261126995</x:v>
      </x:c>
      <x:c r="R26" s="44" t="n">
        <x:v>0.12587830424308777</x:v>
      </x:c>
      <x:c r="S26" s="44" t="n">
        <x:v>219</x:v>
      </x:c>
      <x:c r="T26" s="44" t="n">
        <x:v>0.0045662100456621</x:v>
      </x:c>
      <x:c r="U26" s="44" t="n">
        <x:v>0.0958904109589041</x:v>
      </x:c>
      <x:c r="V26" s="44" t="n">
        <x:v>0.639269406392694</x:v>
      </x:c>
      <x:c r="W26" s="44" t="n">
        <x:v>0.0136986301369863</x:v>
      </x:c>
      <x:c r="X26" s="44" t="n">
        <x:v>0.2465753424657534</x:v>
      </x:c>
      <x:c r="Y26" s="44" t="n">
        <x:v>0</x:v>
      </x:c>
      <x:c r="Z26" s="44" t="n">
        <x:v>0.6647058823529411</x:v>
      </x:c>
      <x:c r="AA26" s="45" t="n">
        <x:v>0.34705882352941175</x:v>
      </x:c>
      <x:c r="AB26" s="45" t="n">
        <x:v>0.7823529411764706</x:v>
      </x:c>
      <x:c r="AC26" s="45" t="n">
        <x:v>0.27058823529411763</x:v>
      </x:c>
      <x:c r="AD26" s="44" t="n">
        <x:v>0.9</x:v>
      </x:c>
      <x:c r="AE26" s="44" t="n">
        <x:v>0.7235294117647059</x:v>
      </x:c>
      <x:c r="AF26" s="45" t="n">
        <x:v>0.5352941176470588</x:v>
      </x:c>
      <x:c r="AG26" s="45" t="n">
        <x:v>0.5588235294117647</x:v>
      </x:c>
      <x:c r="AH26" s="44" t="n">
        <x:v>0.3235294117647059</x:v>
      </x:c>
      <x:c r="AI26" s="44" t="n">
        <x:v>0.7941176470588235</x:v>
      </x:c>
      <x:c r="AJ26" s="45" t="n">
        <x:v>0.5588235294117647</x:v>
      </x:c>
      <x:c r="AK26" s="45" t="n">
        <x:v>0.462037037037037</x:v>
      </x:c>
      <x:c r="AL26" s="45" t="n">
        <x:v>0.5187182280319536</x:v>
      </x:c>
      <x:c r="AM26" s="44" t="n">
        <x:v>0.5470588235294118</x:v>
      </x:c>
    </x:row>
    <x:row r="27" ht="15" hidden="0" customHeight="1">
      <x:c r="A27" s="44" t="str">
        <x:v>139-006</x:v>
      </x:c>
      <x:c r="B27" s="44" t="str">
        <x:v>Dharmarajika stupa and monastery</x:v>
      </x:c>
      <x:c r="C27" s="44" t="n">
        <x:v>250</x:v>
      </x:c>
      <x:c r="D27" s="44" t="str">
        <x:v>E2014</x:v>
      </x:c>
      <x:c r="E27" s="44" t="n">
        <x:v>2014</x:v>
      </x:c>
      <x:c r="F27" s="44" t="n">
        <x:v>219</x:v>
      </x:c>
      <x:c r="G27" s="45" t="n">
        <x:v>0.43322810530662537</x:v>
      </x:c>
      <x:c r="H27" s="44" t="n">
        <x:v>0.2750485837459564</x:v>
      </x:c>
      <x:c r="I27" s="44" t="n">
        <x:v>0.6039023399353027</x:v>
      </x:c>
      <x:c r="J27" s="45" t="n">
        <x:v>-0.04739423468708992</x:v>
      </x:c>
      <x:c r="K27" s="44" t="n">
        <x:v>-0.17207397520542145</x:v>
      </x:c>
      <x:c r="L27" s="44" t="n">
        <x:v>0.023168914020061493</x:v>
      </x:c>
      <x:c r="M27" s="45" t="n">
        <x:v>-0.43263256549835205</x:v>
      </x:c>
      <x:c r="N27" s="44" t="n">
        <x:v>-0.473612517118454</x:v>
      </x:c>
      <x:c r="O27" s="44" t="n">
        <x:v>-0.37195706367492676</x:v>
      </x:c>
      <x:c r="P27" s="45" t="n">
        <x:v>0.025045713409781456</x:v>
      </x:c>
      <x:c r="Q27" s="44" t="n">
        <x:v>-0.0962088480591774</x:v>
      </x:c>
      <x:c r="R27" s="44" t="n">
        <x:v>0.10565844178199768</x:v>
      </x:c>
      <x:c r="S27" s="44" t="n">
        <x:v>219</x:v>
      </x:c>
      <x:c r="T27" s="44" t="n">
        <x:v>0.0136986301369863</x:v>
      </x:c>
      <x:c r="U27" s="44" t="n">
        <x:v>0.0228310502283105</x:v>
      </x:c>
      <x:c r="V27" s="44" t="n">
        <x:v>0.5114155251141552</x:v>
      </x:c>
      <x:c r="W27" s="44" t="n">
        <x:v>0.2420091324200913</x:v>
      </x:c>
      <x:c r="X27" s="44" t="n">
        <x:v>0.2100456621004566</x:v>
      </x:c>
      <x:c r="Y27" s="44" t="n">
        <x:v>0</x:v>
      </x:c>
      <x:c r="Z27" s="44" t="n">
        <x:v>0.48823529411764705</x:v>
      </x:c>
      <x:c r="AA27" s="45" t="n">
        <x:v>0.6882352941176471</x:v>
      </x:c>
      <x:c r="AB27" s="45" t="n">
        <x:v>0.5352941176470588</x:v>
      </x:c>
      <x:c r="AC27" s="45" t="n">
        <x:v>0.32941176470588235</x:v>
      </x:c>
      <x:c r="AD27" s="44" t="n">
        <x:v>0.7941176470588235</x:v>
      </x:c>
      <x:c r="AE27" s="44" t="n">
        <x:v>0.5117647058823529</x:v>
      </x:c>
      <x:c r="AF27" s="45" t="n">
        <x:v>0.6</x:v>
      </x:c>
      <x:c r="AG27" s="45" t="n">
        <x:v>0.5588235294117647</x:v>
      </x:c>
      <x:c r="AH27" s="44" t="n">
        <x:v>0.3235294117647059</x:v>
      </x:c>
      <x:c r="AI27" s="44" t="n">
        <x:v>0.7941176470588235</x:v>
      </x:c>
      <x:c r="AJ27" s="45" t="n">
        <x:v>0.5588235294117647</x:v>
      </x:c>
      <x:c r="AK27" s="45" t="n">
        <x:v>0.4842592592592592</x:v>
      </x:c>
      <x:c r="AL27" s="45" t="n">
        <x:v>0.5476942628903413</x:v>
      </x:c>
      <x:c r="AM27" s="44" t="n">
        <x:v>0.5794117647058823</x:v>
      </x:c>
    </x:row>
    <x:row r="28" ht="15" hidden="0" customHeight="1">
      <x:c r="A28" s="44" t="str">
        <x:v>139-006</x:v>
      </x:c>
      <x:c r="B28" s="44" t="str">
        <x:v>Dharmarajika stupa and monastery</x:v>
      </x:c>
      <x:c r="C28" s="44" t="n">
        <x:v>250</x:v>
      </x:c>
      <x:c r="D28" s="44" t="str">
        <x:v>E2019</x:v>
      </x:c>
      <x:c r="E28" s="44" t="n">
        <x:v>2019</x:v>
      </x:c>
      <x:c r="F28" s="44" t="n">
        <x:v>219</x:v>
      </x:c>
      <x:c r="G28" s="45" t="n">
        <x:v>0.4553259313106537</x:v>
      </x:c>
      <x:c r="H28" s="44" t="n">
        <x:v>0.3392031490802765</x:v>
      </x:c>
      <x:c r="I28" s="44" t="n">
        <x:v>0.5815459489822388</x:v>
      </x:c>
      <x:c r="J28" s="45" t="n">
        <x:v>-0.06253275275230408</x:v>
      </x:c>
      <x:c r="K28" s="44" t="n">
        <x:v>-0.17377501726150513</x:v>
      </x:c>
      <x:c r="L28" s="44" t="n">
        <x:v>0.0071314359083771706</x:v>
      </x:c>
      <x:c r="M28" s="45" t="n">
        <x:v>-0.43531906604766846</x:v>
      </x:c>
      <x:c r="N28" s="44" t="n">
        <x:v>-0.4702361226081848</x:v>
      </x:c>
      <x:c r="O28" s="44" t="n">
        <x:v>-0.3936275243759155</x:v>
      </x:c>
      <x:c r="P28" s="45" t="n">
        <x:v>0.017236551269888878</x:v>
      </x:c>
      <x:c r="Q28" s="44" t="n">
        <x:v>-0.09246457368135452</x:v>
      </x:c>
      <x:c r="R28" s="44" t="n">
        <x:v>0.08209741860628128</x:v>
      </x:c>
      <x:c r="S28" s="44" t="n">
        <x:v>219</x:v>
      </x:c>
      <x:c r="T28" s="44" t="n">
        <x:v>0.0045662100456621</x:v>
      </x:c>
      <x:c r="U28" s="44" t="n">
        <x:v>0</x:v>
      </x:c>
      <x:c r="V28" s="44" t="n">
        <x:v>0.4794520547945205</x:v>
      </x:c>
      <x:c r="W28" s="44" t="n">
        <x:v>0.2557077625570776</x:v>
      </x:c>
      <x:c r="X28" s="44" t="n">
        <x:v>0.2602739726027397</x:v>
      </x:c>
      <x:c r="Y28" s="44" t="n">
        <x:v>0</x:v>
      </x:c>
      <x:c r="Z28" s="44" t="n">
        <x:v>0.3588235294117647</x:v>
      </x:c>
      <x:c r="AA28" s="45" t="n">
        <x:v>0.7470588235294118</x:v>
      </x:c>
      <x:c r="AB28" s="45" t="n">
        <x:v>0.4176470588235294</x:v>
      </x:c>
      <x:c r="AC28" s="45" t="n">
        <x:v>0.27058823529411763</x:v>
      </x:c>
      <x:c r="AD28" s="44" t="n">
        <x:v>0.3235294117647059</x:v>
      </x:c>
      <x:c r="AE28" s="44" t="n">
        <x:v>0.38823529411764707</x:v>
      </x:c>
      <x:c r="AF28" s="45" t="n">
        <x:v>0.5676470588235294</x:v>
      </x:c>
      <x:c r="AG28" s="45" t="n">
        <x:v>0.5588235294117647</x:v>
      </x:c>
      <x:c r="AH28" s="44" t="n">
        <x:v>0.3235294117647059</x:v>
      </x:c>
      <x:c r="AI28" s="44" t="n">
        <x:v>0.7941176470588235</x:v>
      </x:c>
      <x:c r="AJ28" s="45" t="n">
        <x:v>0.5588235294117647</x:v>
      </x:c>
      <x:c r="AK28" s="45" t="n">
        <x:v>0.3138888888888889</x:v>
      </x:c>
      <x:c r="AL28" s="45" t="n">
        <x:v>0.480119825708061</x:v>
      </x:c>
      <x:c r="AM28" s="44" t="n">
        <x:v>0.5632352941176471</x:v>
      </x:c>
    </x:row>
    <x:row r="29" ht="15" hidden="0" customHeight="1">
      <x:c r="A29" s="44" t="str">
        <x:v>139-006</x:v>
      </x:c>
      <x:c r="B29" s="44" t="str">
        <x:v>Dharmarajika stupa and monastery</x:v>
      </x:c>
      <x:c r="C29" s="44" t="n">
        <x:v>250</x:v>
      </x:c>
      <x:c r="D29" s="44" t="str">
        <x:v>E2024</x:v>
      </x:c>
      <x:c r="E29" s="44" t="n">
        <x:v>2024</x:v>
      </x:c>
      <x:c r="F29" s="44" t="n">
        <x:v>219</x:v>
      </x:c>
      <x:c r="G29" s="45" t="n">
        <x:v>0.4673420190811157</x:v>
      </x:c>
      <x:c r="H29" s="44" t="n">
        <x:v>0.3112705647945404</x:v>
      </x:c>
      <x:c r="I29" s="44" t="n">
        <x:v>0.6280909776687622</x:v>
      </x:c>
      <x:c r="J29" s="45" t="n">
        <x:v>-0.08109711110591888</x:v>
      </x:c>
      <x:c r="K29" s="44" t="n">
        <x:v>-0.21565578877925873</x:v>
      </x:c>
      <x:c r="L29" s="44" t="n">
        <x:v>0.023569321259856224</x:v>
      </x:c>
      <x:c r="M29" s="45" t="n">
        <x:v>-0.43120887875556946</x:v>
      </x:c>
      <x:c r="N29" s="44" t="n">
        <x:v>-0.46243733167648315</x:v>
      </x:c>
      <x:c r="O29" s="44" t="n">
        <x:v>-0.3940812647342682</x:v>
      </x:c>
      <x:c r="P29" s="45" t="n">
        <x:v>-0.0004778332950081676</x:v>
      </x:c>
      <x:c r="Q29" s="44" t="n">
        <x:v>-0.134389266371727</x:v>
      </x:c>
      <x:c r="R29" s="44" t="n">
        <x:v>0.09884607046842575</x:v>
      </x:c>
      <x:c r="S29" s="44" t="n">
        <x:v>219</x:v>
      </x:c>
      <x:c r="T29" s="44" t="n">
        <x:v>0</x:v>
      </x:c>
      <x:c r="U29" s="44" t="n">
        <x:v>0.0273972602739726</x:v>
      </x:c>
      <x:c r="V29" s="44" t="n">
        <x:v>0.5251141552511416</x:v>
      </x:c>
      <x:c r="W29" s="44" t="n">
        <x:v>0.2694063926940639</x:v>
      </x:c>
      <x:c r="X29" s="44" t="n">
        <x:v>0.1780821917808219</x:v>
      </x:c>
      <x:c r="Y29" s="44" t="n">
        <x:v>0</x:v>
      </x:c>
      <x:c r="Z29" s="44" t="n">
        <x:v>0.3</x:v>
      </x:c>
      <x:c r="AA29" s="45" t="n">
        <x:v>0.6529411764705882</x:v>
      </x:c>
      <x:c r="AB29" s="45" t="n">
        <x:v>0.3235294117647059</x:v>
      </x:c>
      <x:c r="AC29" s="45" t="n">
        <x:v>0.12352941176470589</x:v>
      </x:c>
      <x:c r="AD29" s="44" t="n">
        <x:v>0.8058823529411765</x:v>
      </x:c>
      <x:c r="AE29" s="44" t="n">
        <x:v>0.31176470588235294</x:v>
      </x:c>
      <x:c r="AF29" s="45" t="n">
        <x:v>0.4823529411764706</x:v>
      </x:c>
      <x:c r="AG29" s="45" t="n">
        <x:v>0.5588235294117647</x:v>
      </x:c>
      <x:c r="AH29" s="44" t="n">
        <x:v>0.3235294117647059</x:v>
      </x:c>
      <x:c r="AI29" s="44" t="n">
        <x:v>0.7941176470588235</x:v>
      </x:c>
      <x:c r="AJ29" s="45" t="n">
        <x:v>0.5588235294117647</x:v>
      </x:c>
      <x:c r="AK29" s="45" t="n">
        <x:v>0.5259259259259259</x:v>
      </x:c>
      <x:c r="AL29" s="45" t="n">
        <x:v>0.5223674655047205</x:v>
      </x:c>
      <x:c r="AM29" s="44" t="n">
        <x:v>0.5205882352941177</x:v>
      </x:c>
    </x:row>
    <x:row r="30" ht="15" hidden="0" customHeight="1">
      <x:c r="A30" s="44" t="str">
        <x:v>139-007</x:v>
      </x:c>
      <x:c r="B30" s="44" t="str">
        <x:v>Khader Mohra (Akhuri)</x:v>
      </x:c>
      <x:c r="C30" s="44" t="n">
        <x:v>250</x:v>
      </x:c>
      <x:c r="D30" s="44" t="str">
        <x:v>E2004</x:v>
      </x:c>
      <x:c r="E30" s="44" t="n">
        <x:v>2004</x:v>
      </x:c>
      <x:c r="F30" s="44" t="n">
        <x:v>220</x:v>
      </x:c>
      <x:c r="G30" s="45" t="n">
        <x:v>0.3778929114341736</x:v>
      </x:c>
      <x:c r="H30" s="44" t="n">
        <x:v>0.3129756450653076</x:v>
      </x:c>
      <x:c r="I30" s="44" t="n">
        <x:v>0.5175348520278931</x:v>
      </x:c>
      <x:c r="J30" s="45" t="n">
        <x:v>-0.035524506121873856</x:v>
      </x:c>
      <x:c r="K30" s="44" t="n">
        <x:v>-0.19647231698036194</x:v>
      </x:c>
      <x:c r="L30" s="44" t="n">
        <x:v>0.051532261073589325</x:v>
      </x:c>
      <x:c r="M30" s="45" t="n">
        <x:v>-0.4068632125854492</x:v>
      </x:c>
      <x:c r="N30" s="44" t="n">
        <x:v>-0.46566280722618103</x:v>
      </x:c>
      <x:c r="O30" s="44" t="n">
        <x:v>-0.3153740465641022</x:v>
      </x:c>
      <x:c r="P30" s="45" t="n">
        <x:v>0.04280804470181465</x:v>
      </x:c>
      <x:c r="Q30" s="44" t="n">
        <x:v>-0.1067543476819992</x:v>
      </x:c>
      <x:c r="R30" s="44" t="n">
        <x:v>0.11841025948524475</x:v>
      </x:c>
      <x:c r="S30" s="44" t="n">
        <x:v>220</x:v>
      </x:c>
      <x:c r="T30" s="44" t="n">
        <x:v>0.12272727272727273</x:v>
      </x:c>
      <x:c r="U30" s="44" t="n">
        <x:v>0</x:v>
      </x:c>
      <x:c r="V30" s="44" t="n">
        <x:v>0.3</x:v>
      </x:c>
      <x:c r="W30" s="44" t="n">
        <x:v>0.15</x:v>
      </x:c>
      <x:c r="X30" s="44" t="n">
        <x:v>0.42727272727272725</x:v>
      </x:c>
      <x:c r="Y30" s="44" t="n">
        <x:v>0</x:v>
      </x:c>
      <x:c r="Z30" s="44" t="n">
        <x:v>0.8058823529411765</x:v>
      </x:c>
      <x:c r="AA30" s="45" t="n">
        <x:v>0.21764705882352942</x:v>
      </x:c>
      <x:c r="AB30" s="45" t="n">
        <x:v>0.6529411764705882</x:v>
      </x:c>
      <x:c r="AC30" s="45" t="n">
        <x:v>0.7</x:v>
      </x:c>
      <x:c r="AD30" s="44" t="n">
        <x:v>0.3235294117647059</x:v>
      </x:c>
      <x:c r="AE30" s="44" t="n">
        <x:v>0.7294117647058824</x:v>
      </x:c>
      <x:c r="AF30" s="45" t="n">
        <x:v>0.4735294117647059</x:v>
      </x:c>
      <x:c r="AG30" s="45" t="n">
        <x:v>0.6372549019607843</x:v>
      </x:c>
      <x:c r="AH30" s="44" t="n">
        <x:v>0.9705882352941176</x:v>
      </x:c>
      <x:c r="AI30" s="44" t="n">
        <x:v>0.08823529411764706</x:v>
      </x:c>
      <x:c r="AJ30" s="45" t="n">
        <x:v>0.8529411764705882</x:v>
      </x:c>
      <x:c r="AK30" s="45" t="n">
        <x:v>0.5166666666666666</x:v>
      </x:c>
      <x:c r="AL30" s="45" t="n">
        <x:v>0.5424836601307189</x:v>
      </x:c>
      <x:c r="AM30" s="44" t="n">
        <x:v>0.5553921568627451</x:v>
      </x:c>
    </x:row>
    <x:row r="31" ht="15" hidden="0" customHeight="1">
      <x:c r="A31" s="44" t="str">
        <x:v>139-007</x:v>
      </x:c>
      <x:c r="B31" s="44" t="str">
        <x:v>Khader Mohra (Akhuri)</x:v>
      </x:c>
      <x:c r="C31" s="44" t="n">
        <x:v>250</x:v>
      </x:c>
      <x:c r="D31" s="44" t="str">
        <x:v>E2009</x:v>
      </x:c>
      <x:c r="E31" s="44" t="n">
        <x:v>2009</x:v>
      </x:c>
      <x:c r="F31" s="44" t="n">
        <x:v>220</x:v>
      </x:c>
      <x:c r="G31" s="45" t="n">
        <x:v>0.38227182626724243</x:v>
      </x:c>
      <x:c r="H31" s="44" t="n">
        <x:v>0.29553842544555664</x:v>
      </x:c>
      <x:c r="I31" s="44" t="n">
        <x:v>0.5513758063316345</x:v>
      </x:c>
      <x:c r="J31" s="45" t="n">
        <x:v>-0.038440898060798645</x:v>
      </x:c>
      <x:c r="K31" s="44" t="n">
        <x:v>-0.20795458555221558</x:v>
      </x:c>
      <x:c r="L31" s="44" t="n">
        <x:v>0.06969209760427475</x:v>
      </x:c>
      <x:c r="M31" s="45" t="n">
        <x:v>-0.4043898582458496</x:v>
      </x:c>
      <x:c r="N31" s="44" t="n">
        <x:v>-0.4578762948513031</x:v>
      </x:c>
      <x:c r="O31" s="44" t="n">
        <x:v>-0.34044724702835083</x:v>
      </x:c>
      <x:c r="P31" s="45" t="n">
        <x:v>0.03468244522809982</x:v>
      </x:c>
      <x:c r="Q31" s="44" t="n">
        <x:v>-0.12643998861312866</x:v>
      </x:c>
      <x:c r="R31" s="44" t="n">
        <x:v>0.13192467391490936</x:v>
      </x:c>
      <x:c r="S31" s="44" t="n">
        <x:v>220</x:v>
      </x:c>
      <x:c r="T31" s="44" t="n">
        <x:v>0.1590909090909091</x:v>
      </x:c>
      <x:c r="U31" s="44" t="n">
        <x:v>0</x:v>
      </x:c>
      <x:c r="V31" s="44" t="n">
        <x:v>0.36818181818181817</x:v>
      </x:c>
      <x:c r="W31" s="44" t="n">
        <x:v>0.19090909090909092</x:v>
      </x:c>
      <x:c r="X31" s="44" t="n">
        <x:v>0.2818181818181818</x:v>
      </x:c>
      <x:c r="Y31" s="44" t="n">
        <x:v>0</x:v>
      </x:c>
      <x:c r="Z31" s="44" t="n">
        <x:v>0.7235294117647059</x:v>
      </x:c>
      <x:c r="AA31" s="45" t="n">
        <x:v>0.14705882352941177</x:v>
      </x:c>
      <x:c r="AB31" s="45" t="n">
        <x:v>0.6294117647058823</x:v>
      </x:c>
      <x:c r="AC31" s="45" t="n">
        <x:v>0.7705882352941177</x:v>
      </x:c>
      <x:c r="AD31" s="44" t="n">
        <x:v>0.3235294117647059</x:v>
      </x:c>
      <x:c r="AE31" s="44" t="n">
        <x:v>0.6764705882352942</x:v>
      </x:c>
      <x:c r="AF31" s="45" t="n">
        <x:v>0.411764705882353</x:v>
      </x:c>
      <x:c r="AG31" s="45" t="n">
        <x:v>0.6372549019607843</x:v>
      </x:c>
      <x:c r="AH31" s="44" t="n">
        <x:v>0.9705882352941176</x:v>
      </x:c>
      <x:c r="AI31" s="44" t="n">
        <x:v>0.08823529411764706</x:v>
      </x:c>
      <x:c r="AJ31" s="45" t="n">
        <x:v>0.8529411764705882</x:v>
      </x:c>
      <x:c r="AK31" s="45" t="n">
        <x:v>0.462037037037037</x:v>
      </x:c>
      <x:c r="AL31" s="45" t="n">
        <x:v>0.5036855482933914</x:v>
      </x:c>
      <x:c r="AM31" s="44" t="n">
        <x:v>0.5245098039215687</x:v>
      </x:c>
    </x:row>
    <x:row r="32" ht="15" hidden="0" customHeight="1">
      <x:c r="A32" s="44" t="str">
        <x:v>139-007</x:v>
      </x:c>
      <x:c r="B32" s="44" t="str">
        <x:v>Khader Mohra (Akhuri)</x:v>
      </x:c>
      <x:c r="C32" s="44" t="n">
        <x:v>250</x:v>
      </x:c>
      <x:c r="D32" s="44" t="str">
        <x:v>E2014</x:v>
      </x:c>
      <x:c r="E32" s="44" t="n">
        <x:v>2014</x:v>
      </x:c>
      <x:c r="F32" s="44" t="n">
        <x:v>220</x:v>
      </x:c>
      <x:c r="G32" s="45" t="n">
        <x:v>0.3785058259963989</x:v>
      </x:c>
      <x:c r="H32" s="44" t="n">
        <x:v>0.309337317943573</x:v>
      </x:c>
      <x:c r="I32" s="44" t="n">
        <x:v>0.6880178451538086</x:v>
      </x:c>
      <x:c r="J32" s="45" t="n">
        <x:v>-0.03488820046186447</x:v>
      </x:c>
      <x:c r="K32" s="44" t="n">
        <x:v>-0.3470483720302582</x:v>
      </x:c>
      <x:c r="L32" s="44" t="n">
        <x:v>0.06045606732368469</x:v>
      </x:c>
      <x:c r="M32" s="45" t="n">
        <x:v>-0.40639176964759827</x:v>
      </x:c>
      <x:c r="N32" s="44" t="n">
        <x:v>-0.4454796016216278</x:v>
      </x:c>
      <x:c r="O32" s="44" t="n">
        <x:v>-0.30645665526390076</x:v>
      </x:c>
      <x:c r="P32" s="45" t="n">
        <x:v>0.04515543952584267</x:v>
      </x:c>
      <x:c r="Q32" s="44" t="n">
        <x:v>-0.26450085639953613</x:v>
      </x:c>
      <x:c r="R32" s="44" t="n">
        <x:v>0.1195940300822258</x:v>
      </x:c>
      <x:c r="S32" s="44" t="n">
        <x:v>220</x:v>
      </x:c>
      <x:c r="T32" s="44" t="n">
        <x:v>0.1</x:v>
      </x:c>
      <x:c r="U32" s="44" t="n">
        <x:v>0</x:v>
      </x:c>
      <x:c r="V32" s="44" t="n">
        <x:v>0.2318181818181818</x:v>
      </x:c>
      <x:c r="W32" s="44" t="n">
        <x:v>0.25</x:v>
      </x:c>
      <x:c r="X32" s="44" t="n">
        <x:v>0.41818181818181815</x:v>
      </x:c>
      <x:c r="Y32" s="44" t="n">
        <x:v>0</x:v>
      </x:c>
      <x:c r="Z32" s="44" t="n">
        <x:v>0.7941176470588235</x:v>
      </x:c>
      <x:c r="AA32" s="45" t="n">
        <x:v>0.20588235294117646</x:v>
      </x:c>
      <x:c r="AB32" s="45" t="n">
        <x:v>0.6764705882352942</x:v>
      </x:c>
      <x:c r="AC32" s="45" t="n">
        <x:v>0.6176470588235294</x:v>
      </x:c>
      <x:c r="AD32" s="44" t="n">
        <x:v>0.3235294117647059</x:v>
      </x:c>
      <x:c r="AE32" s="44" t="n">
        <x:v>0.7352941176470589</x:v>
      </x:c>
      <x:c r="AF32" s="45" t="n">
        <x:v>0.47058823529411764</x:v>
      </x:c>
      <x:c r="AG32" s="45" t="n">
        <x:v>0.6372549019607843</x:v>
      </x:c>
      <x:c r="AH32" s="44" t="n">
        <x:v>0.9705882352941176</x:v>
      </x:c>
      <x:c r="AI32" s="44" t="n">
        <x:v>0.08823529411764706</x:v>
      </x:c>
      <x:c r="AJ32" s="45" t="n">
        <x:v>0.8529411764705882</x:v>
      </x:c>
      <x:c r="AK32" s="45" t="n">
        <x:v>0.4842592592592592</x:v>
      </x:c>
      <x:c r="AL32" s="45" t="n">
        <x:v>0.5307007988380538</x:v>
      </x:c>
      <x:c r="AM32" s="44" t="n">
        <x:v>0.553921568627451</x:v>
      </x:c>
    </x:row>
    <x:row r="33" ht="15" hidden="0" customHeight="1">
      <x:c r="A33" s="44" t="str">
        <x:v>139-007</x:v>
      </x:c>
      <x:c r="B33" s="44" t="str">
        <x:v>Khader Mohra (Akhuri)</x:v>
      </x:c>
      <x:c r="C33" s="44" t="n">
        <x:v>250</x:v>
      </x:c>
      <x:c r="D33" s="44" t="str">
        <x:v>E2019</x:v>
      </x:c>
      <x:c r="E33" s="44" t="n">
        <x:v>2019</x:v>
      </x:c>
      <x:c r="F33" s="44" t="n">
        <x:v>220</x:v>
      </x:c>
      <x:c r="G33" s="45" t="n">
        <x:v>0.3995441794395447</x:v>
      </x:c>
      <x:c r="H33" s="44" t="n">
        <x:v>0.3081773817539215</x:v>
      </x:c>
      <x:c r="I33" s="44" t="n">
        <x:v>0.6924439072608948</x:v>
      </x:c>
      <x:c r="J33" s="45" t="n">
        <x:v>-0.05562802404165268</x:v>
      </x:c>
      <x:c r="K33" s="44" t="n">
        <x:v>-0.34549781680107117</x:v>
      </x:c>
      <x:c r="L33" s="44" t="n">
        <x:v>0.046517450362443924</x:v>
      </x:c>
      <x:c r="M33" s="45" t="n">
        <x:v>-0.39106565713882446</x:v>
      </x:c>
      <x:c r="N33" s="44" t="n">
        <x:v>-0.43592363595962524</x:v>
      </x:c>
      <x:c r="O33" s="44" t="n">
        <x:v>-0.3003770112991333</x:v>
      </x:c>
      <x:c r="P33" s="45" t="n">
        <x:v>0.027424229308962822</x:v>
      </x:c>
      <x:c r="Q33" s="44" t="n">
        <x:v>-0.26144662499427795</x:v>
      </x:c>
      <x:c r="R33" s="44" t="n">
        <x:v>0.10917466878890991</x:v>
      </x:c>
      <x:c r="S33" s="44" t="n">
        <x:v>220</x:v>
      </x:c>
      <x:c r="T33" s="44" t="n">
        <x:v>0.11363636363636363</x:v>
      </x:c>
      <x:c r="U33" s="44" t="n">
        <x:v>0.004545454545454545</x:v>
      </x:c>
      <x:c r="V33" s="44" t="n">
        <x:v>0.20909090909090908</x:v>
      </x:c>
      <x:c r="W33" s="44" t="n">
        <x:v>0.29545454545454547</x:v>
      </x:c>
      <x:c r="X33" s="44" t="n">
        <x:v>0.37727272727272726</x:v>
      </x:c>
      <x:c r="Y33" s="44" t="n">
        <x:v>0</x:v>
      </x:c>
      <x:c r="Z33" s="44" t="n">
        <x:v>0.6176470588235294</x:v>
      </x:c>
      <x:c r="AA33" s="45" t="n">
        <x:v>0.03529411764705882</x:v>
      </x:c>
      <x:c r="AB33" s="45" t="n">
        <x:v>0.4764705882352941</x:v>
      </x:c>
      <x:c r="AC33" s="45" t="n">
        <x:v>0.6647058823529411</x:v>
      </x:c>
      <x:c r="AD33" s="44" t="n">
        <x:v>0.6647058823529411</x:v>
      </x:c>
      <x:c r="AE33" s="44" t="n">
        <x:v>0.5470588235294118</x:v>
      </x:c>
      <x:c r="AF33" s="45" t="n">
        <x:v>0.2911764705882353</x:v>
      </x:c>
      <x:c r="AG33" s="45" t="n">
        <x:v>0.6372549019607843</x:v>
      </x:c>
      <x:c r="AH33" s="44" t="n">
        <x:v>0.9705882352941176</x:v>
      </x:c>
      <x:c r="AI33" s="44" t="n">
        <x:v>0.08823529411764706</x:v>
      </x:c>
      <x:c r="AJ33" s="45" t="n">
        <x:v>0.8529411764705882</x:v>
      </x:c>
      <x:c r="AK33" s="45" t="n">
        <x:v>0.3138888888888889</x:v>
      </x:c>
      <x:c r="AL33" s="45" t="n">
        <x:v>0.4141067538126362</x:v>
      </x:c>
      <x:c r="AM33" s="44" t="n">
        <x:v>0.4642156862745098</x:v>
      </x:c>
    </x:row>
    <x:row r="34" ht="15" hidden="0" customHeight="1">
      <x:c r="A34" s="44" t="str">
        <x:v>139-007</x:v>
      </x:c>
      <x:c r="B34" s="44" t="str">
        <x:v>Khader Mohra (Akhuri)</x:v>
      </x:c>
      <x:c r="C34" s="44" t="n">
        <x:v>250</x:v>
      </x:c>
      <x:c r="D34" s="44" t="str">
        <x:v>E2024</x:v>
      </x:c>
      <x:c r="E34" s="44" t="n">
        <x:v>2024</x:v>
      </x:c>
      <x:c r="F34" s="44" t="n">
        <x:v>220</x:v>
      </x:c>
      <x:c r="G34" s="45" t="n">
        <x:v>0.5365327596664429</x:v>
      </x:c>
      <x:c r="H34" s="44" t="n">
        <x:v>0.42388537526130676</x:v>
      </x:c>
      <x:c r="I34" s="44" t="n">
        <x:v>0.7560530304908752</x:v>
      </x:c>
      <x:c r="J34" s="45" t="n">
        <x:v>-0.1381262242794037</x:v>
      </x:c>
      <x:c r="K34" s="44" t="n">
        <x:v>-0.35837703943252563</x:v>
      </x:c>
      <x:c r="L34" s="44" t="n">
        <x:v>-0.027095019817352295</x:v>
      </x:c>
      <x:c r="M34" s="45" t="n">
        <x:v>-0.42314931750297546</x:v>
      </x:c>
      <x:c r="N34" s="44" t="n">
        <x:v>-0.46449849009513855</x:v>
      </x:c>
      <x:c r="O34" s="44" t="n">
        <x:v>-0.3736751675605774</x:v>
      </x:c>
      <x:c r="P34" s="45" t="n">
        <x:v>-0.051718808710575104</x:v>
      </x:c>
      <x:c r="Q34" s="44" t="n">
        <x:v>-0.2876937687397003</x:v>
      </x:c>
      <x:c r="R34" s="44" t="n">
        <x:v>0.046481285244226456</x:v>
      </x:c>
      <x:c r="S34" s="44" t="n">
        <x:v>220</x:v>
      </x:c>
      <x:c r="T34" s="44" t="n">
        <x:v>0.01818181818181818</x:v>
      </x:c>
      <x:c r="U34" s="44" t="n">
        <x:v>0</x:v>
      </x:c>
      <x:c r="V34" s="44" t="n">
        <x:v>0.15</x:v>
      </x:c>
      <x:c r="W34" s="44" t="n">
        <x:v>0.5363636363636364</x:v>
      </x:c>
      <x:c r="X34" s="44" t="n">
        <x:v>0.29545454545454547</x:v>
      </x:c>
      <x:c r="Y34" s="44" t="n">
        <x:v>0</x:v>
      </x:c>
      <x:c r="Z34" s="44" t="n">
        <x:v>0.14705882352941177</x:v>
      </x:c>
      <x:c r="AA34" s="45" t="n">
        <x:v>0.5117647058823529</x:v>
      </x:c>
      <x:c r="AB34" s="45" t="n">
        <x:v>0.13529411764705881</x:v>
      </x:c>
      <x:c r="AC34" s="45" t="n">
        <x:v>0.38823529411764707</x:v>
      </x:c>
      <x:c r="AD34" s="44" t="n">
        <x:v>0.3235294117647059</x:v>
      </x:c>
      <x:c r="AE34" s="44" t="n">
        <x:v>0.1411764705882353</x:v>
      </x:c>
      <x:c r="AF34" s="45" t="n">
        <x:v>0.32647058823529407</x:v>
      </x:c>
      <x:c r="AG34" s="45" t="n">
        <x:v>0.6372549019607843</x:v>
      </x:c>
      <x:c r="AH34" s="44" t="n">
        <x:v>0.9705882352941176</x:v>
      </x:c>
      <x:c r="AI34" s="44" t="n">
        <x:v>0.08823529411764706</x:v>
      </x:c>
      <x:c r="AJ34" s="45" t="n">
        <x:v>0.8529411764705882</x:v>
      </x:c>
      <x:c r="AK34" s="45" t="n">
        <x:v>0.5259259259259259</x:v>
      </x:c>
      <x:c r="AL34" s="45" t="n">
        <x:v>0.4965504720406681</x:v>
      </x:c>
      <x:c r="AM34" s="44" t="n">
        <x:v>0.48186274509803917</x:v>
      </x:c>
    </x:row>
    <x:row r="35" ht="15" hidden="0" customHeight="1">
      <x:c r="A35" s="44" t="str">
        <x:v>139-008</x:v>
      </x:c>
      <x:c r="B35" s="44" t="str">
        <x:v>Kalawan group of buildings</x:v>
      </x:c>
      <x:c r="C35" s="44" t="n">
        <x:v>250</x:v>
      </x:c>
      <x:c r="D35" s="44" t="str">
        <x:v>E2004</x:v>
      </x:c>
      <x:c r="E35" s="44" t="n">
        <x:v>2004</x:v>
      </x:c>
      <x:c r="F35" s="44" t="n">
        <x:v>220</x:v>
      </x:c>
      <x:c r="G35" s="45" t="n">
        <x:v>0.38111114501953125</x:v>
      </x:c>
      <x:c r="H35" s="44" t="n">
        <x:v>0.328622043132782</x:v>
      </x:c>
      <x:c r="I35" s="44" t="n">
        <x:v>0.4510171711444855</x:v>
      </x:c>
      <x:c r="J35" s="45" t="n">
        <x:v>-0.003072751685976982</x:v>
      </x:c>
      <x:c r="K35" s="44" t="n">
        <x:v>-0.06674814224243164</x:v>
      </x:c>
      <x:c r="L35" s="44" t="n">
        <x:v>0.042352717369794846</x:v>
      </x:c>
      <x:c r="M35" s="45" t="n">
        <x:v>-0.4604091942310333</x:v>
      </x:c>
      <x:c r="N35" s="44" t="n">
        <x:v>-0.48024386167526245</x:v>
      </x:c>
      <x:c r="O35" s="44" t="n">
        <x:v>-0.4091074764728546</x:v>
      </x:c>
      <x:c r="P35" s="45" t="n">
        <x:v>0.07288794964551926</x:v>
      </x:c>
      <x:c r="Q35" s="44" t="n">
        <x:v>0.01255384273827076</x:v>
      </x:c>
      <x:c r="R35" s="44" t="n">
        <x:v>0.11209285259246826</x:v>
      </x:c>
      <x:c r="S35" s="44" t="n">
        <x:v>220</x:v>
      </x:c>
      <x:c r="T35" s="44" t="n">
        <x:v>0.00909090909090909</x:v>
      </x:c>
      <x:c r="U35" s="44" t="n">
        <x:v>0</x:v>
      </x:c>
      <x:c r="V35" s="44" t="n">
        <x:v>0.35909090909090907</x:v>
      </x:c>
      <x:c r="W35" s="44" t="n">
        <x:v>0.00909090909090909</x:v>
      </x:c>
      <x:c r="X35" s="44" t="n">
        <x:v>0.6227272727272727</x:v>
      </x:c>
      <x:c r="Y35" s="44" t="n">
        <x:v>0</x:v>
      </x:c>
      <x:c r="Z35" s="44" t="n">
        <x:v>0.7470588235294118</x:v>
      </x:c>
      <x:c r="AA35" s="45" t="n">
        <x:v>0.9235294117647059</x:v>
      </x:c>
      <x:c r="AB35" s="45" t="n">
        <x:v>0.8647058823529412</x:v>
      </x:c>
      <x:c r="AC35" s="45" t="n">
        <x:v>0.3058823529411765</x:v>
      </x:c>
      <x:c r="AD35" s="44" t="n">
        <x:v>0.3235294117647059</x:v>
      </x:c>
      <x:c r="AE35" s="44" t="n">
        <x:v>0.8058823529411765</x:v>
      </x:c>
      <x:c r="AF35" s="45" t="n">
        <x:v>0.8647058823529412</x:v>
      </x:c>
      <x:c r="AG35" s="45" t="n">
        <x:v>0.3627450980392157</x:v>
      </x:c>
      <x:c r="AH35" s="44" t="n">
        <x:v>0.4411764705882353</x:v>
      </x:c>
      <x:c r="AI35" s="44" t="n">
        <x:v>0.20588235294117646</x:v>
      </x:c>
      <x:c r="AJ35" s="45" t="n">
        <x:v>0.4411764705882353</x:v>
      </x:c>
      <x:c r="AK35" s="45" t="n">
        <x:v>0.5166666666666666</x:v>
      </x:c>
      <x:c r="AL35" s="45" t="n">
        <x:v>0.5813725490196079</x:v>
      </x:c>
      <x:c r="AM35" s="44" t="n">
        <x:v>0.6137254901960785</x:v>
      </x:c>
    </x:row>
    <x:row r="36" ht="15" hidden="0" customHeight="1">
      <x:c r="A36" s="44" t="str">
        <x:v>139-008</x:v>
      </x:c>
      <x:c r="B36" s="44" t="str">
        <x:v>Kalawan group of buildings</x:v>
      </x:c>
      <x:c r="C36" s="44" t="n">
        <x:v>250</x:v>
      </x:c>
      <x:c r="D36" s="44" t="str">
        <x:v>E2009</x:v>
      </x:c>
      <x:c r="E36" s="44" t="n">
        <x:v>2009</x:v>
      </x:c>
      <x:c r="F36" s="44" t="n">
        <x:v>220</x:v>
      </x:c>
      <x:c r="G36" s="45" t="n">
        <x:v>0.36962708830833435</x:v>
      </x:c>
      <x:c r="H36" s="44" t="n">
        <x:v>0.3126365542411804</x:v>
      </x:c>
      <x:c r="I36" s="44" t="n">
        <x:v>0.4369095265865326</x:v>
      </x:c>
      <x:c r="J36" s="45" t="n">
        <x:v>0.0013290185015648603</x:v>
      </x:c>
      <x:c r="K36" s="44" t="n">
        <x:v>-0.0583985410630703</x:v>
      </x:c>
      <x:c r="L36" s="44" t="n">
        <x:v>0.050885800272226334</x:v>
      </x:c>
      <x:c r="M36" s="45" t="n">
        <x:v>-0.45463573932647705</x:v>
      </x:c>
      <x:c r="N36" s="44" t="n">
        <x:v>-0.48529815673828125</x:v>
      </x:c>
      <x:c r="O36" s="44" t="n">
        <x:v>-0.39711254835128784</x:v>
      </x:c>
      <x:c r="P36" s="45" t="n">
        <x:v>0.07536973059177399</x:v>
      </x:c>
      <x:c r="Q36" s="44" t="n">
        <x:v>0.0213435348123312</x:v>
      </x:c>
      <x:c r="R36" s="44" t="n">
        <x:v>0.11718304455280304</x:v>
      </x:c>
      <x:c r="S36" s="44" t="n">
        <x:v>220</x:v>
      </x:c>
      <x:c r="T36" s="44" t="n">
        <x:v>0.03636363636363636</x:v>
      </x:c>
      <x:c r="U36" s="44" t="n">
        <x:v>0</x:v>
      </x:c>
      <x:c r="V36" s="44" t="n">
        <x:v>0.29545454545454547</x:v>
      </x:c>
      <x:c r="W36" s="44" t="n">
        <x:v>0</x:v>
      </x:c>
      <x:c r="X36" s="44" t="n">
        <x:v>0.6681818181818182</x:v>
      </x:c>
      <x:c r="Y36" s="44" t="n">
        <x:v>0</x:v>
      </x:c>
      <x:c r="Z36" s="44" t="n">
        <x:v>0.8529411764705882</x:v>
      </x:c>
      <x:c r="AA36" s="45" t="n">
        <x:v>0.9</x:v>
      </x:c>
      <x:c r="AB36" s="45" t="n">
        <x:v>0.888235294117647</x:v>
      </x:c>
      <x:c r="AC36" s="45" t="n">
        <x:v>0.4411764705882353</x:v>
      </x:c>
      <x:c r="AD36" s="44" t="n">
        <x:v>0.3235294117647059</x:v>
      </x:c>
      <x:c r="AE36" s="44" t="n">
        <x:v>0.8705882352941177</x:v>
      </x:c>
      <x:c r="AF36" s="45" t="n">
        <x:v>0.8852941176470588</x:v>
      </x:c>
      <x:c r="AG36" s="45" t="n">
        <x:v>0.3627450980392157</x:v>
      </x:c>
      <x:c r="AH36" s="44" t="n">
        <x:v>0.4411764705882353</x:v>
      </x:c>
      <x:c r="AI36" s="44" t="n">
        <x:v>0.20588235294117646</x:v>
      </x:c>
      <x:c r="AJ36" s="45" t="n">
        <x:v>0.4411764705882353</x:v>
      </x:c>
      <x:c r="AK36" s="45" t="n">
        <x:v>0.462037037037037</x:v>
      </x:c>
      <x:c r="AL36" s="45" t="n">
        <x:v>0.5700254175744371</x:v>
      </x:c>
      <x:c r="AM36" s="44" t="n">
        <x:v>0.6240196078431373</x:v>
      </x:c>
    </x:row>
    <x:row r="37" ht="15" hidden="0" customHeight="1">
      <x:c r="A37" s="44" t="str">
        <x:v>139-008</x:v>
      </x:c>
      <x:c r="B37" s="44" t="str">
        <x:v>Kalawan group of buildings</x:v>
      </x:c>
      <x:c r="C37" s="44" t="n">
        <x:v>250</x:v>
      </x:c>
      <x:c r="D37" s="44" t="str">
        <x:v>E2014</x:v>
      </x:c>
      <x:c r="E37" s="44" t="n">
        <x:v>2014</x:v>
      </x:c>
      <x:c r="F37" s="44" t="n">
        <x:v>220</x:v>
      </x:c>
      <x:c r="G37" s="45" t="n">
        <x:v>0.3793463706970215</x:v>
      </x:c>
      <x:c r="H37" s="44" t="n">
        <x:v>0.3025815188884735</x:v>
      </x:c>
      <x:c r="I37" s="44" t="n">
        <x:v>0.48927590250968933</x:v>
      </x:c>
      <x:c r="J37" s="45" t="n">
        <x:v>0.007652475498616695</x:v>
      </x:c>
      <x:c r="K37" s="44" t="n">
        <x:v>-0.07971103489398956</x:v>
      </x:c>
      <x:c r="L37" s="44" t="n">
        <x:v>0.06301067024469376</x:v>
      </x:c>
      <x:c r="M37" s="45" t="n">
        <x:v>-0.4434022009372711</x:v>
      </x:c>
      <x:c r="N37" s="44" t="n">
        <x:v>-0.48572421073913574</x:v>
      </x:c>
      <x:c r="O37" s="44" t="n">
        <x:v>-0.397378146648407</x:v>
      </x:c>
      <x:c r="P37" s="45" t="n">
        <x:v>0.0742630660533905</x:v>
      </x:c>
      <x:c r="Q37" s="44" t="n">
        <x:v>-0.005942144431173801</x:v>
      </x:c>
      <x:c r="R37" s="44" t="n">
        <x:v>0.12130700796842575</x:v>
      </x:c>
      <x:c r="S37" s="44" t="n">
        <x:v>220</x:v>
      </x:c>
      <x:c r="T37" s="44" t="n">
        <x:v>0.01818181818181818</x:v>
      </x:c>
      <x:c r="U37" s="44" t="n">
        <x:v>0.04090909090909091</x:v>
      </x:c>
      <x:c r="V37" s="44" t="n">
        <x:v>0.31363636363636366</x:v>
      </x:c>
      <x:c r="W37" s="44" t="n">
        <x:v>0.06363636363636363</x:v>
      </x:c>
      <x:c r="X37" s="44" t="n">
        <x:v>0.5636363636363636</x:v>
      </x:c>
      <x:c r="Y37" s="44" t="n">
        <x:v>0</x:v>
      </x:c>
      <x:c r="Z37" s="44" t="n">
        <x:v>0.7705882352941177</x:v>
      </x:c>
      <x:c r="AA37" s="45" t="n">
        <x:v>0.8411764705882353</x:v>
      </x:c>
      <x:c r="AB37" s="45" t="n">
        <x:v>0.9352941176470588</x:v>
      </x:c>
      <x:c r="AC37" s="45" t="n">
        <x:v>0.38823529411764707</x:v>
      </x:c>
      <x:c r="AD37" s="44" t="n">
        <x:v>0.8176470588235294</x:v>
      </x:c>
      <x:c r="AE37" s="44" t="n">
        <x:v>0.8529411764705883</x:v>
      </x:c>
      <x:c r="AF37" s="45" t="n">
        <x:v>0.8470588235294119</x:v>
      </x:c>
      <x:c r="AG37" s="45" t="n">
        <x:v>0.3627450980392157</x:v>
      </x:c>
      <x:c r="AH37" s="44" t="n">
        <x:v>0.4411764705882353</x:v>
      </x:c>
      <x:c r="AI37" s="44" t="n">
        <x:v>0.20588235294117646</x:v>
      </x:c>
      <x:c r="AJ37" s="45" t="n">
        <x:v>0.4411764705882353</x:v>
      </x:c>
      <x:c r="AK37" s="45" t="n">
        <x:v>0.4842592592592592</x:v>
      </x:c>
      <x:c r="AL37" s="45" t="n">
        <x:v>0.5646877269426289</x:v>
      </x:c>
      <x:c r="AM37" s="44" t="n">
        <x:v>0.6049019607843138</x:v>
      </x:c>
    </x:row>
    <x:row r="38" ht="15" hidden="0" customHeight="1">
      <x:c r="A38" s="44" t="str">
        <x:v>139-008</x:v>
      </x:c>
      <x:c r="B38" s="44" t="str">
        <x:v>Kalawan group of buildings</x:v>
      </x:c>
      <x:c r="C38" s="44" t="n">
        <x:v>250</x:v>
      </x:c>
      <x:c r="D38" s="44" t="str">
        <x:v>E2019</x:v>
      </x:c>
      <x:c r="E38" s="44" t="n">
        <x:v>2019</x:v>
      </x:c>
      <x:c r="F38" s="44" t="n">
        <x:v>220</x:v>
      </x:c>
      <x:c r="G38" s="45" t="n">
        <x:v>0.4423191249370575</x:v>
      </x:c>
      <x:c r="H38" s="44" t="n">
        <x:v>0.37039729952812195</x:v>
      </x:c>
      <x:c r="I38" s="44" t="n">
        <x:v>0.5346314311027527</x:v>
      </x:c>
      <x:c r="J38" s="45" t="n">
        <x:v>-0.04376278817653656</x:v>
      </x:c>
      <x:c r="K38" s="44" t="n">
        <x:v>-0.12511470913887024</x:v>
      </x:c>
      <x:c r="L38" s="44" t="n">
        <x:v>0.0017123271245509386</x:v>
      </x:c>
      <x:c r="M38" s="45" t="n">
        <x:v>-0.4505850672721863</x:v>
      </x:c>
      <x:c r="N38" s="44" t="n">
        <x:v>-0.48458990454673767</x:v>
      </x:c>
      <x:c r="O38" s="44" t="n">
        <x:v>-0.40193596482276917</x:v>
      </x:c>
      <x:c r="P38" s="45" t="n">
        <x:v>0.030626263469457626</x:v>
      </x:c>
      <x:c r="Q38" s="44" t="n">
        <x:v>-0.044791191816329956</x:v>
      </x:c>
      <x:c r="R38" s="44" t="n">
        <x:v>0.07451178878545761</x:v>
      </x:c>
      <x:c r="S38" s="44" t="n">
        <x:v>220</x:v>
      </x:c>
      <x:c r="T38" s="44" t="n">
        <x:v>0</x:v>
      </x:c>
      <x:c r="U38" s="44" t="n">
        <x:v>0</x:v>
      </x:c>
      <x:c r="V38" s="44" t="n">
        <x:v>0.2545454545454545</x:v>
      </x:c>
      <x:c r="W38" s="44" t="n">
        <x:v>0.14545454545454545</x:v>
      </x:c>
      <x:c r="X38" s="44" t="n">
        <x:v>0.6</x:v>
      </x:c>
      <x:c r="Y38" s="44" t="n">
        <x:v>0</x:v>
      </x:c>
      <x:c r="Z38" s="44" t="n">
        <x:v>0.4294117647058823</x:v>
      </x:c>
      <x:c r="AA38" s="45" t="n">
        <x:v>0.8764705882352941</x:v>
      </x:c>
      <x:c r="AB38" s="45" t="n">
        <x:v>0.5823529411764706</x:v>
      </x:c>
      <x:c r="AC38" s="45" t="n">
        <x:v>0.12352941176470589</x:v>
      </x:c>
      <x:c r="AD38" s="44" t="n">
        <x:v>0.3235294117647059</x:v>
      </x:c>
      <x:c r="AE38" s="44" t="n">
        <x:v>0.5058823529411764</x:v>
      </x:c>
      <x:c r="AF38" s="45" t="n">
        <x:v>0.6911764705882353</x:v>
      </x:c>
      <x:c r="AG38" s="45" t="n">
        <x:v>0.3627450980392157</x:v>
      </x:c>
      <x:c r="AH38" s="44" t="n">
        <x:v>0.4411764705882353</x:v>
      </x:c>
      <x:c r="AI38" s="44" t="n">
        <x:v>0.20588235294117646</x:v>
      </x:c>
      <x:c r="AJ38" s="45" t="n">
        <x:v>0.4411764705882353</x:v>
      </x:c>
      <x:c r="AK38" s="45" t="n">
        <x:v>0.3138888888888889</x:v>
      </x:c>
      <x:c r="AL38" s="45" t="n">
        <x:v>0.4559368191721133</x:v>
      </x:c>
      <x:c r="AM38" s="44" t="n">
        <x:v>0.5269607843137255</x:v>
      </x:c>
    </x:row>
    <x:row r="39" ht="15" hidden="0" customHeight="1">
      <x:c r="A39" s="44" t="str">
        <x:v>139-008</x:v>
      </x:c>
      <x:c r="B39" s="44" t="str">
        <x:v>Kalawan group of buildings</x:v>
      </x:c>
      <x:c r="C39" s="44" t="n">
        <x:v>250</x:v>
      </x:c>
      <x:c r="D39" s="44" t="str">
        <x:v>E2024</x:v>
      </x:c>
      <x:c r="E39" s="44" t="n">
        <x:v>2024</x:v>
      </x:c>
      <x:c r="F39" s="44" t="n">
        <x:v>220</x:v>
      </x:c>
      <x:c r="G39" s="45" t="n">
        <x:v>0.5389856100082397</x:v>
      </x:c>
      <x:c r="H39" s="44" t="n">
        <x:v>0.42891258001327515</x:v>
      </x:c>
      <x:c r="I39" s="44" t="n">
        <x:v>0.609224259853363</x:v>
      </x:c>
      <x:c r="J39" s="45" t="n">
        <x:v>-0.12008039653301239</x:v>
      </x:c>
      <x:c r="K39" s="44" t="n">
        <x:v>-0.19104395806789398</x:v>
      </x:c>
      <x:c r="L39" s="44" t="n">
        <x:v>-0.05136410519480705</x:v>
      </x:c>
      <x:c r="M39" s="45" t="n">
        <x:v>-0.4605129063129425</x:v>
      </x:c>
      <x:c r="N39" s="44" t="n">
        <x:v>-0.49150386452674866</x:v>
      </x:c>
      <x:c r="O39" s="44" t="n">
        <x:v>-0.41371235251426697</x:v>
      </x:c>
      <x:c r="P39" s="45" t="n">
        <x:v>-0.040299419313669205</x:v>
      </x:c>
      <x:c r="Q39" s="44" t="n">
        <x:v>-0.11180824041366577</x:v>
      </x:c>
      <x:c r="R39" s="44" t="n">
        <x:v>0.025127945467829704</x:v>
      </x:c>
      <x:c r="S39" s="44" t="n">
        <x:v>220</x:v>
      </x:c>
      <x:c r="T39" s="44" t="n">
        <x:v>0</x:v>
      </x:c>
      <x:c r="U39" s="44" t="n">
        <x:v>0</x:v>
      </x:c>
      <x:c r="V39" s="44" t="n">
        <x:v>0.1318181818181818</x:v>
      </x:c>
      <x:c r="W39" s="44" t="n">
        <x:v>0.3090909090909091</x:v>
      </x:c>
      <x:c r="X39" s="44" t="n">
        <x:v>0.5590909090909091</x:v>
      </x:c>
      <x:c r="Y39" s="44" t="n">
        <x:v>0</x:v>
      </x:c>
      <x:c r="Z39" s="44" t="n">
        <x:v>0.12352941176470589</x:v>
      </x:c>
      <x:c r="AA39" s="45" t="n">
        <x:v>0.9352941176470588</x:v>
      </x:c>
      <x:c r="AB39" s="45" t="n">
        <x:v>0.18235294117647058</x:v>
      </x:c>
      <x:c r="AC39" s="45" t="n">
        <x:v>0.12352941176470589</x:v>
      </x:c>
      <x:c r="AD39" s="44" t="n">
        <x:v>0.3235294117647059</x:v>
      </x:c>
      <x:c r="AE39" s="44" t="n">
        <x:v>0.15294117647058825</x:v>
      </x:c>
      <x:c r="AF39" s="45" t="n">
        <x:v>0.5441176470588236</x:v>
      </x:c>
      <x:c r="AG39" s="45" t="n">
        <x:v>0.3627450980392157</x:v>
      </x:c>
      <x:c r="AH39" s="44" t="n">
        <x:v>0.4411764705882353</x:v>
      </x:c>
      <x:c r="AI39" s="44" t="n">
        <x:v>0.20588235294117646</x:v>
      </x:c>
      <x:c r="AJ39" s="45" t="n">
        <x:v>0.4411764705882353</x:v>
      </x:c>
      <x:c r="AK39" s="45" t="n">
        <x:v>0.5259259259259259</x:v>
      </x:c>
      <x:c r="AL39" s="45" t="n">
        <x:v>0.4775962236746551</x:v>
      </x:c>
      <x:c r="AM39" s="44" t="n">
        <x:v>0.45343137254901966</x:v>
      </x:c>
    </x:row>
    <x:row r="40" ht="15" hidden="0" customHeight="1">
      <x:c r="A40" s="44" t="str">
        <x:v>139-009</x:v>
      </x:c>
      <x:c r="B40" s="44" t="str">
        <x:v>Giri complex of monuments</x:v>
      </x:c>
      <x:c r="C40" s="44" t="n">
        <x:v>250</x:v>
      </x:c>
      <x:c r="D40" s="44" t="str">
        <x:v>E2004</x:v>
      </x:c>
      <x:c r="E40" s="44" t="n">
        <x:v>2004</x:v>
      </x:c>
      <x:c r="F40" s="44" t="n">
        <x:v>214</x:v>
      </x:c>
      <x:c r="G40" s="45" t="n">
        <x:v>0.550095796585083</x:v>
      </x:c>
      <x:c r="H40" s="44" t="n">
        <x:v>0.4829978942871094</x:v>
      </x:c>
      <x:c r="I40" s="44" t="n">
        <x:v>0.6020787358283997</x:v>
      </x:c>
      <x:c r="J40" s="45" t="n">
        <x:v>-0.1534760594367981</x:v>
      </x:c>
      <x:c r="K40" s="44" t="n">
        <x:v>-0.23092839121818542</x:v>
      </x:c>
      <x:c r="L40" s="44" t="n">
        <x:v>-0.07305722683668137</x:v>
      </x:c>
      <x:c r="M40" s="45" t="n">
        <x:v>-0.4324811100959778</x:v>
      </x:c>
      <x:c r="N40" s="44" t="n">
        <x:v>-0.4783889651298523</x:v>
      </x:c>
      <x:c r="O40" s="44" t="n">
        <x:v>-0.38781648874282837</x:v>
      </x:c>
      <x:c r="P40" s="45" t="n">
        <x:v>-0.07324008643627167</x:v>
      </x:c>
      <x:c r="Q40" s="44" t="n">
        <x:v>-0.14514362812042236</x:v>
      </x:c>
      <x:c r="R40" s="44" t="n">
        <x:v>0.00003490777453407645</x:v>
      </x:c>
      <x:c r="S40" s="44" t="n">
        <x:v>214</x:v>
      </x:c>
      <x:c r="T40" s="44" t="n">
        <x:v>0</x:v>
      </x:c>
      <x:c r="U40" s="44" t="n">
        <x:v>0</x:v>
      </x:c>
      <x:c r="V40" s="44" t="n">
        <x:v>0.07009345794392523</x:v>
      </x:c>
      <x:c r="W40" s="44" t="n">
        <x:v>0.6915887850467289</x:v>
      </x:c>
      <x:c r="X40" s="44" t="n">
        <x:v>0.2383177570093458</x:v>
      </x:c>
      <x:c r="Y40" s="44" t="n">
        <x:v>0</x:v>
      </x:c>
      <x:c r="Z40" s="44" t="n">
        <x:v>0.07647058823529412</x:v>
      </x:c>
      <x:c r="AA40" s="45" t="n">
        <x:v>0.6764705882352942</x:v>
      </x:c>
      <x:c r="AB40" s="45" t="n">
        <x:v>0.1</x:v>
      </x:c>
      <x:c r="AC40" s="45" t="n">
        <x:v>0.12352941176470589</x:v>
      </x:c>
      <x:c r="AD40" s="44" t="n">
        <x:v>0.3235294117647059</x:v>
      </x:c>
      <x:c r="AE40" s="44" t="n">
        <x:v>0.08823529411764706</x:v>
      </x:c>
      <x:c r="AF40" s="45" t="n">
        <x:v>0.3823529411764706</x:v>
      </x:c>
      <x:c r="AG40" s="45" t="n">
        <x:v>0.5392156862745098</x:v>
      </x:c>
      <x:c r="AH40" s="44" t="n">
        <x:v>0.7352941176470589</x:v>
      </x:c>
      <x:c r="AI40" s="44" t="n">
        <x:v>0.14705882352941177</x:v>
      </x:c>
      <x:c r="AJ40" s="45" t="n">
        <x:v>0.7352941176470589</x:v>
      </x:c>
      <x:c r="AK40" s="45" t="n">
        <x:v>0.5166666666666666</x:v>
      </x:c>
      <x:c r="AL40" s="45" t="n">
        <x:v>0.47941176470588237</x:v>
      </x:c>
      <x:c r="AM40" s="44" t="n">
        <x:v>0.4607843137254902</x:v>
      </x:c>
    </x:row>
    <x:row r="41" ht="15" hidden="0" customHeight="1">
      <x:c r="A41" s="44" t="str">
        <x:v>139-009</x:v>
      </x:c>
      <x:c r="B41" s="44" t="str">
        <x:v>Giri complex of monuments</x:v>
      </x:c>
      <x:c r="C41" s="44" t="n">
        <x:v>250</x:v>
      </x:c>
      <x:c r="D41" s="44" t="str">
        <x:v>E2009</x:v>
      </x:c>
      <x:c r="E41" s="44" t="n">
        <x:v>2009</x:v>
      </x:c>
      <x:c r="F41" s="44" t="n">
        <x:v>214</x:v>
      </x:c>
      <x:c r="G41" s="45" t="n">
        <x:v>0.518130898475647</x:v>
      </x:c>
      <x:c r="H41" s="44" t="n">
        <x:v>0.44489869475364685</x:v>
      </x:c>
      <x:c r="I41" s="44" t="n">
        <x:v>0.5858319997787476</x:v>
      </x:c>
      <x:c r="J41" s="45" t="n">
        <x:v>-0.14606979489326477</x:v>
      </x:c>
      <x:c r="K41" s="44" t="n">
        <x:v>-0.2154962569475174</x:v>
      </x:c>
      <x:c r="L41" s="44" t="n">
        <x:v>-0.04577760398387909</x:v>
      </x:c>
      <x:c r="M41" s="45" t="n">
        <x:v>-0.42716920375823975</x:v>
      </x:c>
      <x:c r="N41" s="44" t="n">
        <x:v>-0.4668174386024475</x:v>
      </x:c>
      <x:c r="O41" s="44" t="n">
        <x:v>-0.38527125120162964</x:v>
      </x:c>
      <x:c r="P41" s="45" t="n">
        <x:v>-0.06613393127918243</x:v>
      </x:c>
      <x:c r="Q41" s="44" t="n">
        <x:v>-0.13432347774505615</x:v>
      </x:c>
      <x:c r="R41" s="44" t="n">
        <x:v>0.019690897315740585</x:v>
      </x:c>
      <x:c r="S41" s="44" t="n">
        <x:v>214</x:v>
      </x:c>
      <x:c r="T41" s="44" t="n">
        <x:v>0</x:v>
      </x:c>
      <x:c r="U41" s="44" t="n">
        <x:v>0</x:v>
      </x:c>
      <x:c r="V41" s="44" t="n">
        <x:v>0.10747663551401869</x:v>
      </x:c>
      <x:c r="W41" s="44" t="n">
        <x:v>0.616822429906542</x:v>
      </x:c>
      <x:c r="X41" s="44" t="n">
        <x:v>0.2757009345794392</x:v>
      </x:c>
      <x:c r="Y41" s="44" t="n">
        <x:v>0</x:v>
      </x:c>
      <x:c r="Z41" s="44" t="n">
        <x:v>0.20588235294117646</x:v>
      </x:c>
      <x:c r="AA41" s="45" t="n">
        <x:v>0.5823529411764706</x:v>
      </x:c>
      <x:c r="AB41" s="45" t="n">
        <x:v>0.12352941176470589</x:v>
      </x:c>
      <x:c r="AC41" s="45" t="n">
        <x:v>0.12352941176470589</x:v>
      </x:c>
      <x:c r="AD41" s="44" t="n">
        <x:v>0.3235294117647059</x:v>
      </x:c>
      <x:c r="AE41" s="44" t="n">
        <x:v>0.16470588235294117</x:v>
      </x:c>
      <x:c r="AF41" s="45" t="n">
        <x:v>0.3735294117647059</x:v>
      </x:c>
      <x:c r="AG41" s="45" t="n">
        <x:v>0.5392156862745098</x:v>
      </x:c>
      <x:c r="AH41" s="44" t="n">
        <x:v>0.7352941176470589</x:v>
      </x:c>
      <x:c r="AI41" s="44" t="n">
        <x:v>0.14705882352941177</x:v>
      </x:c>
      <x:c r="AJ41" s="45" t="n">
        <x:v>0.7352941176470589</x:v>
      </x:c>
      <x:c r="AK41" s="45" t="n">
        <x:v>0.462037037037037</x:v>
      </x:c>
      <x:c r="AL41" s="45" t="n">
        <x:v>0.4582607116920842</x:v>
      </x:c>
      <x:c r="AM41" s="44" t="n">
        <x:v>0.45637254901960783</x:v>
      </x:c>
    </x:row>
    <x:row r="42" ht="15" hidden="0" customHeight="1">
      <x:c r="A42" s="44" t="str">
        <x:v>139-009</x:v>
      </x:c>
      <x:c r="B42" s="44" t="str">
        <x:v>Giri complex of monuments</x:v>
      </x:c>
      <x:c r="C42" s="44" t="n">
        <x:v>250</x:v>
      </x:c>
      <x:c r="D42" s="44" t="str">
        <x:v>E2014</x:v>
      </x:c>
      <x:c r="E42" s="44" t="n">
        <x:v>2014</x:v>
      </x:c>
      <x:c r="F42" s="44" t="n">
        <x:v>214</x:v>
      </x:c>
      <x:c r="G42" s="45" t="n">
        <x:v>0.6094837188720703</x:v>
      </x:c>
      <x:c r="H42" s="44" t="n">
        <x:v>0.47277742624282837</x:v>
      </x:c>
      <x:c r="I42" s="44" t="n">
        <x:v>0.6851534843444824</x:v>
      </x:c>
      <x:c r="J42" s="45" t="n">
        <x:v>-0.17164592444896698</x:v>
      </x:c>
      <x:c r="K42" s="44" t="n">
        <x:v>-0.26876145601272583</x:v>
      </x:c>
      <x:c r="L42" s="44" t="n">
        <x:v>-0.03705601021647453</x:v>
      </x:c>
      <x:c r="M42" s="45" t="n">
        <x:v>-0.4648666977882385</x:v>
      </x:c>
      <x:c r="N42" s="44" t="n">
        <x:v>-0.49197518825531006</x:v>
      </x:c>
      <x:c r="O42" s="44" t="n">
        <x:v>-0.430559366941452</x:v>
      </x:c>
      <x:c r="P42" s="45" t="n">
        <x:v>-0.09476760029792786</x:v>
      </x:c>
      <x:c r="Q42" s="44" t="n">
        <x:v>-0.1875120997428894</x:v>
      </x:c>
      <x:c r="R42" s="44" t="n">
        <x:v>0.033653903752565384</x:v>
      </x:c>
      <x:c r="S42" s="44" t="n">
        <x:v>214</x:v>
      </x:c>
      <x:c r="T42" s="44" t="n">
        <x:v>0</x:v>
      </x:c>
      <x:c r="U42" s="44" t="n">
        <x:v>0</x:v>
      </x:c>
      <x:c r="V42" s="44" t="n">
        <x:v>0.03271028037383177</x:v>
      </x:c>
      <x:c r="W42" s="44" t="n">
        <x:v>0.7149532710280374</x:v>
      </x:c>
      <x:c r="X42" s="44" t="n">
        <x:v>0.2523364485981308</x:v>
      </x:c>
      <x:c r="Y42" s="44" t="n">
        <x:v>0</x:v>
      </x:c>
      <x:c r="Z42" s="44" t="n">
        <x:v>0.041176470588235294</x:v>
      </x:c>
      <x:c r="AA42" s="45" t="n">
        <x:v>0.9588235294117647</x:v>
      </x:c>
      <x:c r="AB42" s="45" t="n">
        <x:v>0.06470588235294118</x:v>
      </x:c>
      <x:c r="AC42" s="45" t="n">
        <x:v>0.12352941176470589</x:v>
      </x:c>
      <x:c r="AD42" s="44" t="n">
        <x:v>0.3235294117647059</x:v>
      </x:c>
      <x:c r="AE42" s="44" t="n">
        <x:v>0.05294117647058824</x:v>
      </x:c>
      <x:c r="AF42" s="45" t="n">
        <x:v>0.5058823529411764</x:v>
      </x:c>
      <x:c r="AG42" s="45" t="n">
        <x:v>0.5392156862745098</x:v>
      </x:c>
      <x:c r="AH42" s="44" t="n">
        <x:v>0.7352941176470589</x:v>
      </x:c>
      <x:c r="AI42" s="44" t="n">
        <x:v>0.14705882352941177</x:v>
      </x:c>
      <x:c r="AJ42" s="45" t="n">
        <x:v>0.7352941176470589</x:v>
      </x:c>
      <x:c r="AK42" s="45" t="n">
        <x:v>0.4842592592592592</x:v>
      </x:c>
      <x:c r="AL42" s="45" t="n">
        <x:v>0.5097857661583151</x:v>
      </x:c>
      <x:c r="AM42" s="44" t="n">
        <x:v>0.5225490196078431</x:v>
      </x:c>
    </x:row>
    <x:row r="43" ht="15" hidden="0" customHeight="1">
      <x:c r="A43" s="44" t="str">
        <x:v>139-009</x:v>
      </x:c>
      <x:c r="B43" s="44" t="str">
        <x:v>Giri complex of monuments</x:v>
      </x:c>
      <x:c r="C43" s="44" t="n">
        <x:v>250</x:v>
      </x:c>
      <x:c r="D43" s="44" t="str">
        <x:v>E2019</x:v>
      </x:c>
      <x:c r="E43" s="44" t="n">
        <x:v>2019</x:v>
      </x:c>
      <x:c r="F43" s="44" t="n">
        <x:v>214</x:v>
      </x:c>
      <x:c r="G43" s="45" t="n">
        <x:v>0.624665379524231</x:v>
      </x:c>
      <x:c r="H43" s="44" t="n">
        <x:v>0.4883708655834198</x:v>
      </x:c>
      <x:c r="I43" s="44" t="n">
        <x:v>0.7016202807426453</x:v>
      </x:c>
      <x:c r="J43" s="45" t="n">
        <x:v>-0.19095471501350403</x:v>
      </x:c>
      <x:c r="K43" s="44" t="n">
        <x:v>-0.30116385221481323</x:v>
      </x:c>
      <x:c r="L43" s="44" t="n">
        <x:v>-0.07378628849983215</x:v>
      </x:c>
      <x:c r="M43" s="45" t="n">
        <x:v>-0.46002882719039917</x:v>
      </x:c>
      <x:c r="N43" s="44" t="n">
        <x:v>-0.48688676953315735</x:v>
      </x:c>
      <x:c r="O43" s="44" t="n">
        <x:v>-0.42274507880210876</x:v>
      </x:c>
      <x:c r="P43" s="45" t="n">
        <x:v>-0.1140122264623642</x:v>
      </x:c>
      <x:c r="Q43" s="44" t="n">
        <x:v>-0.21561187505722046</x:v>
      </x:c>
      <x:c r="R43" s="44" t="n">
        <x:v>0.004207222256809473</x:v>
      </x:c>
      <x:c r="S43" s="44" t="n">
        <x:v>214</x:v>
      </x:c>
      <x:c r="T43" s="44" t="n">
        <x:v>0</x:v>
      </x:c>
      <x:c r="U43" s="44" t="n">
        <x:v>0</x:v>
      </x:c>
      <x:c r="V43" s="44" t="n">
        <x:v>0.0514018691588785</x:v>
      </x:c>
      <x:c r="W43" s="44" t="n">
        <x:v>0.7476635514018691</x:v>
      </x:c>
      <x:c r="X43" s="44" t="n">
        <x:v>0.20093457943925233</x:v>
      </x:c>
      <x:c r="Y43" s="44" t="n">
        <x:v>0</x:v>
      </x:c>
      <x:c r="Z43" s="44" t="n">
        <x:v>0.029411764705882353</x:v>
      </x:c>
      <x:c r="AA43" s="45" t="n">
        <x:v>0.9117647058823529</x:v>
      </x:c>
      <x:c r="AB43" s="45" t="n">
        <x:v>0.029411764705882353</x:v>
      </x:c>
      <x:c r="AC43" s="45" t="n">
        <x:v>0.12352941176470589</x:v>
      </x:c>
      <x:c r="AD43" s="44" t="n">
        <x:v>0.3235294117647059</x:v>
      </x:c>
      <x:c r="AE43" s="44" t="n">
        <x:v>0.029411764705882353</x:v>
      </x:c>
      <x:c r="AF43" s="45" t="n">
        <x:v>0.47058823529411764</x:v>
      </x:c>
      <x:c r="AG43" s="45" t="n">
        <x:v>0.5392156862745098</x:v>
      </x:c>
      <x:c r="AH43" s="44" t="n">
        <x:v>0.7352941176470589</x:v>
      </x:c>
      <x:c r="AI43" s="44" t="n">
        <x:v>0.14705882352941177</x:v>
      </x:c>
      <x:c r="AJ43" s="45" t="n">
        <x:v>0.7352941176470589</x:v>
      </x:c>
      <x:c r="AK43" s="45" t="n">
        <x:v>0.3138888888888889</x:v>
      </x:c>
      <x:c r="AL43" s="45" t="n">
        <x:v>0.4412309368191721</x:v>
      </x:c>
      <x:c r="AM43" s="44" t="n">
        <x:v>0.5049019607843137</x:v>
      </x:c>
    </x:row>
    <x:row r="44" ht="15" hidden="0" customHeight="1">
      <x:c r="A44" s="44" t="str">
        <x:v>139-009</x:v>
      </x:c>
      <x:c r="B44" s="44" t="str">
        <x:v>Giri complex of monuments</x:v>
      </x:c>
      <x:c r="C44" s="44" t="n">
        <x:v>250</x:v>
      </x:c>
      <x:c r="D44" s="44" t="str">
        <x:v>E2024</x:v>
      </x:c>
      <x:c r="E44" s="44" t="n">
        <x:v>2024</x:v>
      </x:c>
      <x:c r="F44" s="44" t="n">
        <x:v>214</x:v>
      </x:c>
      <x:c r="G44" s="45" t="n">
        <x:v>0.6628482341766357</x:v>
      </x:c>
      <x:c r="H44" s="44" t="n">
        <x:v>0.5406546592712402</x:v>
      </x:c>
      <x:c r="I44" s="44" t="n">
        <x:v>0.7301334738731384</x:v>
      </x:c>
      <x:c r="J44" s="45" t="n">
        <x:v>-0.23174360394477844</x:v>
      </x:c>
      <x:c r="K44" s="44" t="n">
        <x:v>-0.3218517303466797</x:v>
      </x:c>
      <x:c r="L44" s="44" t="n">
        <x:v>-0.11868724972009659</x:v>
      </x:c>
      <x:c r="M44" s="45" t="n">
        <x:v>-0.4637450575828552</x:v>
      </x:c>
      <x:c r="N44" s="44" t="n">
        <x:v>-0.48808082938194275</x:v>
      </x:c>
      <x:c r="O44" s="44" t="n">
        <x:v>-0.433738112449646</x:v>
      </x:c>
      <x:c r="P44" s="45" t="n">
        <x:v>-0.15208353102207184</x:v>
      </x:c>
      <x:c r="Q44" s="44" t="n">
        <x:v>-0.24301445484161377</x:v>
      </x:c>
      <x:c r="R44" s="44" t="n">
        <x:v>-0.03890000283718109</x:v>
      </x:c>
      <x:c r="S44" s="44" t="n">
        <x:v>214</x:v>
      </x:c>
      <x:c r="T44" s="44" t="n">
        <x:v>0</x:v>
      </x:c>
      <x:c r="U44" s="44" t="n">
        <x:v>0</x:v>
      </x:c>
      <x:c r="V44" s="44" t="n">
        <x:v>0.004672897196261682</x:v>
      </x:c>
      <x:c r="W44" s="44" t="n">
        <x:v>0.9065420560747663</x:v>
      </x:c>
      <x:c r="X44" s="44" t="n">
        <x:v>0.08878504672897196</x:v>
      </x:c>
      <x:c r="Y44" s="44" t="n">
        <x:v>0</x:v>
      </x:c>
      <x:c r="Z44" s="44" t="n">
        <x:v>0.0058823529411764705</x:v>
      </x:c>
      <x:c r="AA44" s="45" t="n">
        <x:v>0.9470588235294117</x:v>
      </x:c>
      <x:c r="AB44" s="45" t="n">
        <x:v>0.0058823529411764705</x:v>
      </x:c>
      <x:c r="AC44" s="45" t="n">
        <x:v>0.12352941176470589</x:v>
      </x:c>
      <x:c r="AD44" s="44" t="n">
        <x:v>0.3235294117647059</x:v>
      </x:c>
      <x:c r="AE44" s="44" t="n">
        <x:v>0.0058823529411764705</x:v>
      </x:c>
      <x:c r="AF44" s="45" t="n">
        <x:v>0.4764705882352941</x:v>
      </x:c>
      <x:c r="AG44" s="45" t="n">
        <x:v>0.5392156862745098</x:v>
      </x:c>
      <x:c r="AH44" s="44" t="n">
        <x:v>0.7352941176470589</x:v>
      </x:c>
      <x:c r="AI44" s="44" t="n">
        <x:v>0.14705882352941177</x:v>
      </x:c>
      <x:c r="AJ44" s="45" t="n">
        <x:v>0.7352941176470589</x:v>
      </x:c>
      <x:c r="AK44" s="45" t="n">
        <x:v>0.5259259259259259</x:v>
      </x:c>
      <x:c r="AL44" s="45" t="n">
        <x:v>0.5138707334785766</x:v>
      </x:c>
      <x:c r="AM44" s="44" t="n">
        <x:v>0.5078431372549019</x:v>
      </x:c>
    </x:row>
    <x:row r="45" ht="15" hidden="0" customHeight="1">
      <x:c r="A45" s="44" t="str">
        <x:v>139-010</x:v>
      </x:c>
      <x:c r="B45" s="44" t="str">
        <x:v>Kunala stupa and monastery</x:v>
      </x:c>
      <x:c r="C45" s="44" t="n">
        <x:v>250</x:v>
      </x:c>
      <x:c r="D45" s="44" t="str">
        <x:v>E2004</x:v>
      </x:c>
      <x:c r="E45" s="44" t="n">
        <x:v>2004</x:v>
      </x:c>
      <x:c r="F45" s="44" t="n">
        <x:v>219</x:v>
      </x:c>
      <x:c r="G45" s="45" t="n">
        <x:v>0.3225996792316437</x:v>
      </x:c>
      <x:c r="H45" s="44" t="n">
        <x:v>0.23401255905628204</x:v>
      </x:c>
      <x:c r="I45" s="44" t="n">
        <x:v>0.4042136073112488</x:v>
      </x:c>
      <x:c r="J45" s="45" t="n">
        <x:v>0.036971356719732285</x:v>
      </x:c>
      <x:c r="K45" s="44" t="n">
        <x:v>-0.07446681708097458</x:v>
      </x:c>
      <x:c r="L45" s="44" t="n">
        <x:v>0.08117935806512833</x:v>
      </x:c>
      <x:c r="M45" s="45" t="n">
        <x:v>-0.42111828923225403</x:v>
      </x:c>
      <x:c r="N45" s="44" t="n">
        <x:v>-0.4534713625907898</x:v>
      </x:c>
      <x:c r="O45" s="44" t="n">
        <x:v>-0.381598562002182</x:v>
      </x:c>
      <x:c r="P45" s="45" t="n">
        <x:v>0.10959581285715103</x:v>
      </x:c>
      <x:c r="Q45" s="44" t="n">
        <x:v>0.010071606375277042</x:v>
      </x:c>
      <x:c r="R45" s="44" t="n">
        <x:v>0.15613505244255066</x:v>
      </x:c>
      <x:c r="S45" s="44" t="n">
        <x:v>219</x:v>
      </x:c>
      <x:c r="T45" s="44" t="n">
        <x:v>0.0821917808219178</x:v>
      </x:c>
      <x:c r="U45" s="44" t="n">
        <x:v>0.1324200913242009</x:v>
      </x:c>
      <x:c r="V45" s="44" t="n">
        <x:v>0.6301369863013698</x:v>
      </x:c>
      <x:c r="W45" s="44" t="n">
        <x:v>0.0045662100456621</x:v>
      </x:c>
      <x:c r="X45" s="44" t="n">
        <x:v>0.1506849315068493</x:v>
      </x:c>
      <x:c r="Y45" s="44" t="n">
        <x:v>0</x:v>
      </x:c>
      <x:c r="Z45" s="44" t="n">
        <x:v>0.9588235294117647</x:v>
      </x:c>
      <x:c r="AA45" s="45" t="n">
        <x:v>0.45294117647058824</x:v>
      </x:c>
      <x:c r="AB45" s="45" t="n">
        <x:v>0.9705882352941176</x:v>
      </x:c>
      <x:c r="AC45" s="45" t="n">
        <x:v>0.5588235294117647</x:v>
      </x:c>
      <x:c r="AD45" s="44" t="n">
        <x:v>0.9235294117647059</x:v>
      </x:c>
      <x:c r="AE45" s="44" t="n">
        <x:v>0.9647058823529412</x:v>
      </x:c>
      <x:c r="AF45" s="45" t="n">
        <x:v>0.7088235294117647</x:v>
      </x:c>
      <x:c r="AG45" s="45" t="n">
        <x:v>0.46078431372549017</x:v>
      </x:c>
      <x:c r="AH45" s="44" t="n">
        <x:v>0.5</x:v>
      </x:c>
      <x:c r="AI45" s="44" t="n">
        <x:v>0.5</x:v>
      </x:c>
      <x:c r="AJ45" s="45" t="n">
        <x:v>0.38235294117647056</x:v>
      </x:c>
      <x:c r="AK45" s="45" t="n">
        <x:v>0.5166666666666666</x:v>
      </x:c>
      <x:c r="AL45" s="45" t="n">
        <x:v>0.5620915032679739</x:v>
      </x:c>
      <x:c r="AM45" s="44" t="n">
        <x:v>0.5848039215686275</x:v>
      </x:c>
    </x:row>
    <x:row r="46" ht="15" hidden="0" customHeight="1">
      <x:c r="A46" s="44" t="str">
        <x:v>139-010</x:v>
      </x:c>
      <x:c r="B46" s="44" t="str">
        <x:v>Kunala stupa and monastery</x:v>
      </x:c>
      <x:c r="C46" s="44" t="n">
        <x:v>250</x:v>
      </x:c>
      <x:c r="D46" s="44" t="str">
        <x:v>E2009</x:v>
      </x:c>
      <x:c r="E46" s="44" t="n">
        <x:v>2009</x:v>
      </x:c>
      <x:c r="F46" s="44" t="n">
        <x:v>219</x:v>
      </x:c>
      <x:c r="G46" s="45" t="n">
        <x:v>0.29412931203842163</x:v>
      </x:c>
      <x:c r="H46" s="44" t="n">
        <x:v>0.23308447003364563</x:v>
      </x:c>
      <x:c r="I46" s="44" t="n">
        <x:v>0.38076940178871155</x:v>
      </x:c>
      <x:c r="J46" s="45" t="n">
        <x:v>0.040724169462919235</x:v>
      </x:c>
      <x:c r="K46" s="44" t="n">
        <x:v>-0.07937486469745636</x:v>
      </x:c>
      <x:c r="L46" s="44" t="n">
        <x:v>0.07703153789043427</x:v>
      </x:c>
      <x:c r="M46" s="45" t="n">
        <x:v>-0.4051070809364319</x:v>
      </x:c>
      <x:c r="N46" s="44" t="n">
        <x:v>-0.4337603747844696</x:v>
      </x:c>
      <x:c r="O46" s="44" t="n">
        <x:v>-0.354855477809906</x:v>
      </x:c>
      <x:c r="P46" s="45" t="n">
        <x:v>0.11088547110557556</x:v>
      </x:c>
      <x:c r="Q46" s="44" t="n">
        <x:v>0.003239385550841689</x:v>
      </x:c>
      <x:c r="R46" s="44" t="n">
        <x:v>0.14816178381443024</x:v>
      </x:c>
      <x:c r="S46" s="44" t="n">
        <x:v>219</x:v>
      </x:c>
      <x:c r="T46" s="44" t="n">
        <x:v>0.182648401826484</x:v>
      </x:c>
      <x:c r="U46" s="44" t="n">
        <x:v>0.1506849315068493</x:v>
      </x:c>
      <x:c r="V46" s="44" t="n">
        <x:v>0.589041095890411</x:v>
      </x:c>
      <x:c r="W46" s="44" t="n">
        <x:v>0</x:v>
      </x:c>
      <x:c r="X46" s="44" t="n">
        <x:v>0.0776255707762557</x:v>
      </x:c>
      <x:c r="Y46" s="44" t="n">
        <x:v>0</x:v>
      </x:c>
      <x:c r="Z46" s="44" t="n">
        <x:v>0.9941176470588236</x:v>
      </x:c>
      <x:c r="AA46" s="45" t="n">
        <x:v>0.17058823529411765</x:v>
      </x:c>
      <x:c r="AB46" s="45" t="n">
        <x:v>0.9823529411764705</x:v>
      </x:c>
      <x:c r="AC46" s="45" t="n">
        <x:v>0.8529411764705882</x:v>
      </x:c>
      <x:c r="AD46" s="44" t="n">
        <x:v>0.9705882352941176</x:v>
      </x:c>
      <x:c r="AE46" s="44" t="n">
        <x:v>0.9882352941176471</x:v>
      </x:c>
      <x:c r="AF46" s="45" t="n">
        <x:v>0.5794117647058824</x:v>
      </x:c>
      <x:c r="AG46" s="45" t="n">
        <x:v>0.46078431372549017</x:v>
      </x:c>
      <x:c r="AH46" s="44" t="n">
        <x:v>0.5</x:v>
      </x:c>
      <x:c r="AI46" s="44" t="n">
        <x:v>0.5</x:v>
      </x:c>
      <x:c r="AJ46" s="45" t="n">
        <x:v>0.38235294117647056</x:v>
      </x:c>
      <x:c r="AK46" s="45" t="n">
        <x:v>0.462037037037037</x:v>
      </x:c>
      <x:c r="AL46" s="45" t="n">
        <x:v>0.5007443718228032</x:v>
      </x:c>
      <x:c r="AM46" s="44" t="n">
        <x:v>0.5200980392156863</x:v>
      </x:c>
    </x:row>
    <x:row r="47" ht="15" hidden="0" customHeight="1">
      <x:c r="A47" s="44" t="str">
        <x:v>139-010</x:v>
      </x:c>
      <x:c r="B47" s="44" t="str">
        <x:v>Kunala stupa and monastery</x:v>
      </x:c>
      <x:c r="C47" s="44" t="n">
        <x:v>250</x:v>
      </x:c>
      <x:c r="D47" s="44" t="str">
        <x:v>E2014</x:v>
      </x:c>
      <x:c r="E47" s="44" t="n">
        <x:v>2014</x:v>
      </x:c>
      <x:c r="F47" s="44" t="n">
        <x:v>219</x:v>
      </x:c>
      <x:c r="G47" s="45" t="n">
        <x:v>0.35065239667892456</x:v>
      </x:c>
      <x:c r="H47" s="44" t="n">
        <x:v>0.24215395748615265</x:v>
      </x:c>
      <x:c r="I47" s="44" t="n">
        <x:v>0.4838447570800781</x:v>
      </x:c>
      <x:c r="J47" s="45" t="n">
        <x:v>0.005092981271445751</x:v>
      </x:c>
      <x:c r="K47" s="44" t="n">
        <x:v>-0.10801033675670624</x:v>
      </x:c>
      <x:c r="L47" s="44" t="n">
        <x:v>0.07289531081914902</x:v>
      </x:c>
      <x:c r="M47" s="45" t="n">
        <x:v>-0.40212202072143555</x:v>
      </x:c>
      <x:c r="N47" s="44" t="n">
        <x:v>-0.45854446291923523</x:v>
      </x:c>
      <x:c r="O47" s="44" t="n">
        <x:v>-0.3751892149448395</x:v>
      </x:c>
      <x:c r="P47" s="45" t="n">
        <x:v>0.07316331565380096</x:v>
      </x:c>
      <x:c r="Q47" s="44" t="n">
        <x:v>-0.027520200237631798</x:v>
      </x:c>
      <x:c r="R47" s="44" t="n">
        <x:v>0.13528820872306824</x:v>
      </x:c>
      <x:c r="S47" s="44" t="n">
        <x:v>219</x:v>
      </x:c>
      <x:c r="T47" s="44" t="n">
        <x:v>0.0684931506849315</x:v>
      </x:c>
      <x:c r="U47" s="44" t="n">
        <x:v>0.0593607305936073</x:v>
      </x:c>
      <x:c r="V47" s="44" t="n">
        <x:v>0.5799086757990868</x:v>
      </x:c>
      <x:c r="W47" s="44" t="n">
        <x:v>0.0639269406392694</x:v>
      </x:c>
      <x:c r="X47" s="44" t="n">
        <x:v>0.228310502283105</x:v>
      </x:c>
      <x:c r="Y47" s="44" t="n">
        <x:v>0</x:v>
      </x:c>
      <x:c r="Z47" s="44" t="n">
        <x:v>0.9117647058823529</x:v>
      </x:c>
      <x:c r="AA47" s="45" t="n">
        <x:v>0.08823529411764706</x:v>
      </x:c>
      <x:c r="AB47" s="45" t="n">
        <x:v>0.9235294117647059</x:v>
      </x:c>
      <x:c r="AC47" s="45" t="n">
        <x:v>0.5235294117647059</x:v>
      </x:c>
      <x:c r="AD47" s="44" t="n">
        <x:v>0.888235294117647</x:v>
      </x:c>
      <x:c r="AE47" s="44" t="n">
        <x:v>0.9176470588235295</x:v>
      </x:c>
      <x:c r="AF47" s="45" t="n">
        <x:v>0.5029411764705882</x:v>
      </x:c>
      <x:c r="AG47" s="45" t="n">
        <x:v>0.46078431372549017</x:v>
      </x:c>
      <x:c r="AH47" s="44" t="n">
        <x:v>0.5</x:v>
      </x:c>
      <x:c r="AI47" s="44" t="n">
        <x:v>0.5</x:v>
      </x:c>
      <x:c r="AJ47" s="45" t="n">
        <x:v>0.38235294117647056</x:v>
      </x:c>
      <x:c r="AK47" s="45" t="n">
        <x:v>0.4842592592592592</x:v>
      </x:c>
      <x:c r="AL47" s="45" t="n">
        <x:v>0.48266158315177915</x:v>
      </x:c>
      <x:c r="AM47" s="44" t="n">
        <x:v>0.48186274509803917</x:v>
      </x:c>
    </x:row>
    <x:row r="48" ht="15" hidden="0" customHeight="1">
      <x:c r="A48" s="44" t="str">
        <x:v>139-010</x:v>
      </x:c>
      <x:c r="B48" s="44" t="str">
        <x:v>Kunala stupa and monastery</x:v>
      </x:c>
      <x:c r="C48" s="44" t="n">
        <x:v>250</x:v>
      </x:c>
      <x:c r="D48" s="44" t="str">
        <x:v>E2019</x:v>
      </x:c>
      <x:c r="E48" s="44" t="n">
        <x:v>2019</x:v>
      </x:c>
      <x:c r="F48" s="44" t="n">
        <x:v>219</x:v>
      </x:c>
      <x:c r="G48" s="45" t="n">
        <x:v>0.3749519884586334</x:v>
      </x:c>
      <x:c r="H48" s="44" t="n">
        <x:v>0.2692597210407257</x:v>
      </x:c>
      <x:c r="I48" s="44" t="n">
        <x:v>0.5011032819747925</x:v>
      </x:c>
      <x:c r="J48" s="45" t="n">
        <x:v>-0.009978634305298328</x:v>
      </x:c>
      <x:c r="K48" s="44" t="n">
        <x:v>-0.12193923443555832</x:v>
      </x:c>
      <x:c r="L48" s="44" t="n">
        <x:v>0.05804508924484253</x:v>
      </x:c>
      <x:c r="M48" s="45" t="n">
        <x:v>-0.4079687297344208</x:v>
      </x:c>
      <x:c r="N48" s="44" t="n">
        <x:v>-0.45389673113822937</x:v>
      </x:c>
      <x:c r="O48" s="44" t="n">
        <x:v>-0.37714728713035583</x:v>
      </x:c>
      <x:c r="P48" s="45" t="n">
        <x:v>0.06433957070112228</x:v>
      </x:c>
      <x:c r="Q48" s="44" t="n">
        <x:v>-0.0422823503613472</x:v>
      </x:c>
      <x:c r="R48" s="44" t="n">
        <x:v>0.12194713950157166</x:v>
      </x:c>
      <x:c r="S48" s="44" t="n">
        <x:v>219</x:v>
      </x:c>
      <x:c r="T48" s="44" t="n">
        <x:v>0.0136986301369863</x:v>
      </x:c>
      <x:c r="U48" s="44" t="n">
        <x:v>0</x:v>
      </x:c>
      <x:c r="V48" s="44" t="n">
        <x:v>0.634703196347032</x:v>
      </x:c>
      <x:c r="W48" s="44" t="n">
        <x:v>0.0730593607305936</x:v>
      </x:c>
      <x:c r="X48" s="44" t="n">
        <x:v>0.2785388127853881</x:v>
      </x:c>
      <x:c r="Y48" s="44" t="n">
        <x:v>0</x:v>
      </x:c>
      <x:c r="Z48" s="44" t="n">
        <x:v>0.8411764705882353</x:v>
      </x:c>
      <x:c r="AA48" s="45" t="n">
        <x:v>0.2529411764705882</x:v>
      </x:c>
      <x:c r="AB48" s="45" t="n">
        <x:v>0.8529411764705882</x:v>
      </x:c>
      <x:c r="AC48" s="45" t="n">
        <x:v>0.32941176470588235</x:v>
      </x:c>
      <x:c r="AD48" s="44" t="n">
        <x:v>0.3235294117647059</x:v>
      </x:c>
      <x:c r="AE48" s="44" t="n">
        <x:v>0.8470588235294118</x:v>
      </x:c>
      <x:c r="AF48" s="45" t="n">
        <x:v>0.55</x:v>
      </x:c>
      <x:c r="AG48" s="45" t="n">
        <x:v>0.46078431372549017</x:v>
      </x:c>
      <x:c r="AH48" s="44" t="n">
        <x:v>0.5</x:v>
      </x:c>
      <x:c r="AI48" s="44" t="n">
        <x:v>0.5</x:v>
      </x:c>
      <x:c r="AJ48" s="45" t="n">
        <x:v>0.38235294117647056</x:v>
      </x:c>
      <x:c r="AK48" s="45" t="n">
        <x:v>0.3138888888888889</x:v>
      </x:c>
      <x:c r="AL48" s="45" t="n">
        <x:v>0.441557734204793</x:v>
      </x:c>
      <x:c r="AM48" s="44" t="n">
        <x:v>0.5053921568627451</x:v>
      </x:c>
    </x:row>
    <x:row r="49" ht="15" hidden="0" customHeight="1">
      <x:c r="A49" s="44" t="str">
        <x:v>139-010</x:v>
      </x:c>
      <x:c r="B49" s="44" t="str">
        <x:v>Kunala stupa and monastery</x:v>
      </x:c>
      <x:c r="C49" s="44" t="n">
        <x:v>250</x:v>
      </x:c>
      <x:c r="D49" s="44" t="str">
        <x:v>E2024</x:v>
      </x:c>
      <x:c r="E49" s="44" t="n">
        <x:v>2024</x:v>
      </x:c>
      <x:c r="F49" s="44" t="n">
        <x:v>219</x:v>
      </x:c>
      <x:c r="G49" s="45" t="n">
        <x:v>0.43504011631011963</x:v>
      </x:c>
      <x:c r="H49" s="44" t="n">
        <x:v>0.2808198630809784</x:v>
      </x:c>
      <x:c r="I49" s="44" t="n">
        <x:v>0.5934724807739258</x:v>
      </x:c>
      <x:c r="J49" s="45" t="n">
        <x:v>-0.04930892586708069</x:v>
      </x:c>
      <x:c r="K49" s="44" t="n">
        <x:v>-0.19264572858810425</x:v>
      </x:c>
      <x:c r="L49" s="44" t="n">
        <x:v>0.05699153617024422</x:v>
      </x:c>
      <x:c r="M49" s="45" t="n">
        <x:v>-0.42604944109916687</x:v>
      </x:c>
      <x:c r="N49" s="44" t="n">
        <x:v>-0.46223413944244385</x:v>
      </x:c>
      <x:c r="O49" s="44" t="n">
        <x:v>-0.3956662714481354</x:v>
      </x:c>
      <x:c r="P49" s="45" t="n">
        <x:v>0.028066858649253845</x:v>
      </x:c>
      <x:c r="Q49" s="44" t="n">
        <x:v>-0.1103682816028595</x:v>
      </x:c>
      <x:c r="R49" s="44" t="n">
        <x:v>0.11943650245666504</x:v>
      </x:c>
      <x:c r="S49" s="44" t="n">
        <x:v>219</x:v>
      </x:c>
      <x:c r="T49" s="44" t="n">
        <x:v>0.0182648401826484</x:v>
      </x:c>
      <x:c r="U49" s="44" t="n">
        <x:v>0.0091324200913242</x:v>
      </x:c>
      <x:c r="V49" s="44" t="n">
        <x:v>0.547945205479452</x:v>
      </x:c>
      <x:c r="W49" s="44" t="n">
        <x:v>0.2557077625570776</x:v>
      </x:c>
      <x:c r="X49" s="44" t="n">
        <x:v>0.1689497716894977</x:v>
      </x:c>
      <x:c r="Y49" s="44" t="n">
        <x:v>0</x:v>
      </x:c>
      <x:c r="Z49" s="44" t="n">
        <x:v>0.4647058823529412</x:v>
      </x:c>
      <x:c r="AA49" s="45" t="n">
        <x:v>0.5588235294117647</x:v>
      </x:c>
      <x:c r="AB49" s="45" t="n">
        <x:v>0.5235294117647059</x:v>
      </x:c>
      <x:c r="AC49" s="45" t="n">
        <x:v>0.4117647058823529</x:v>
      </x:c>
      <x:c r="AD49" s="44" t="n">
        <x:v>0.711764705882353</x:v>
      </x:c>
      <x:c r="AE49" s="44" t="n">
        <x:v>0.49411764705882355</x:v>
      </x:c>
      <x:c r="AF49" s="45" t="n">
        <x:v>0.5264705882352941</x:v>
      </x:c>
      <x:c r="AG49" s="45" t="n">
        <x:v>0.46078431372549017</x:v>
      </x:c>
      <x:c r="AH49" s="44" t="n">
        <x:v>0.5</x:v>
      </x:c>
      <x:c r="AI49" s="44" t="n">
        <x:v>0.5</x:v>
      </x:c>
      <x:c r="AJ49" s="45" t="n">
        <x:v>0.38235294117647056</x:v>
      </x:c>
      <x:c r="AK49" s="45" t="n">
        <x:v>0.5259259259259259</x:v>
      </x:c>
      <x:c r="AL49" s="45" t="n">
        <x:v>0.5043936092955701</x:v>
      </x:c>
      <x:c r="AM49" s="44" t="n">
        <x:v>0.4936274509803922</x:v>
      </x:c>
    </x:row>
    <x:row r="50" ht="15" hidden="0" customHeight="1">
      <x:c r="A50" s="44" t="str">
        <x:v>139-011</x:v>
      </x:c>
      <x:c r="B50" s="44" t="str">
        <x:v>Jandial complex</x:v>
      </x:c>
      <x:c r="C50" s="44" t="n">
        <x:v>250</x:v>
      </x:c>
      <x:c r="D50" s="44" t="str">
        <x:v>E2004</x:v>
      </x:c>
      <x:c r="E50" s="44" t="n">
        <x:v>2004</x:v>
      </x:c>
      <x:c r="F50" s="44" t="n">
        <x:v>223</x:v>
      </x:c>
      <x:c r="G50" s="45" t="n">
        <x:v>0.34566551446914673</x:v>
      </x:c>
      <x:c r="H50" s="44" t="n">
        <x:v>0.2989966571331024</x:v>
      </x:c>
      <x:c r="I50" s="44" t="n">
        <x:v>0.4188428223133087</x:v>
      </x:c>
      <x:c r="J50" s="45" t="n">
        <x:v>0.002652866067364812</x:v>
      </x:c>
      <x:c r="K50" s="44" t="n">
        <x:v>-0.061086900532245636</x:v>
      </x:c>
      <x:c r="L50" s="44" t="n">
        <x:v>0.042742472141981125</x:v>
      </x:c>
      <x:c r="M50" s="45" t="n">
        <x:v>-0.41886231303215027</x:v>
      </x:c>
      <x:c r="N50" s="44" t="n">
        <x:v>-0.451814204454422</x:v>
      </x:c>
      <x:c r="O50" s="44" t="n">
        <x:v>-0.3789145052433014</x:v>
      </x:c>
      <x:c r="P50" s="45" t="n">
        <x:v>0.07807254046201706</x:v>
      </x:c>
      <x:c r="Q50" s="44" t="n">
        <x:v>0.023559411987662315</x:v>
      </x:c>
      <x:c r="R50" s="44" t="n">
        <x:v>0.11397799104452133</x:v>
      </x:c>
      <x:c r="S50" s="44" t="n">
        <x:v>223</x:v>
      </x:c>
      <x:c r="T50" s="44" t="n">
        <x:v>0.09865470852017937</x:v>
      </x:c>
      <x:c r="U50" s="44" t="n">
        <x:v>0</x:v>
      </x:c>
      <x:c r="V50" s="44" t="n">
        <x:v>0.8385650224215246</x:v>
      </x:c>
      <x:c r="W50" s="44" t="n">
        <x:v>0</x:v>
      </x:c>
      <x:c r="X50" s="44" t="n">
        <x:v>0.06278026905829596</x:v>
      </x:c>
      <x:c r="Y50" s="44" t="n">
        <x:v>0</x:v>
      </x:c>
      <x:c r="Z50" s="44" t="n">
        <x:v>0.9352941176470588</x:v>
      </x:c>
      <x:c r="AA50" s="45" t="n">
        <x:v>0.3941176470588235</x:v>
      </x:c>
      <x:c r="AB50" s="45" t="n">
        <x:v>0.9117647058823529</x:v>
      </x:c>
      <x:c r="AC50" s="45" t="n">
        <x:v>0.5823529411764706</x:v>
      </x:c>
      <x:c r="AD50" s="44" t="n">
        <x:v>0.3235294117647059</x:v>
      </x:c>
      <x:c r="AE50" s="44" t="n">
        <x:v>0.9235294117647059</x:v>
      </x:c>
      <x:c r="AF50" s="45" t="n">
        <x:v>0.6588235294117647</x:v>
      </x:c>
      <x:c r="AG50" s="45" t="n">
        <x:v>0.46078431372549017</x:v>
      </x:c>
      <x:c r="AH50" s="44" t="n">
        <x:v>0.20588235294117646</x:v>
      </x:c>
      <x:c r="AI50" s="44" t="n">
        <x:v>0.6764705882352942</x:v>
      </x:c>
      <x:c r="AJ50" s="45" t="n">
        <x:v>0.5</x:v>
      </x:c>
      <x:c r="AK50" s="45" t="n">
        <x:v>0.5166666666666666</x:v>
      </x:c>
      <x:c r="AL50" s="45" t="n">
        <x:v>0.5454248366013071</x:v>
      </x:c>
      <x:c r="AM50" s="44" t="n">
        <x:v>0.5598039215686275</x:v>
      </x:c>
    </x:row>
    <x:row r="51" ht="15" hidden="0" customHeight="1">
      <x:c r="A51" s="44" t="str">
        <x:v>139-011</x:v>
      </x:c>
      <x:c r="B51" s="44" t="str">
        <x:v>Jandial complex</x:v>
      </x:c>
      <x:c r="C51" s="44" t="n">
        <x:v>250</x:v>
      </x:c>
      <x:c r="D51" s="44" t="str">
        <x:v>E2009</x:v>
      </x:c>
      <x:c r="E51" s="44" t="n">
        <x:v>2009</x:v>
      </x:c>
      <x:c r="F51" s="44" t="n">
        <x:v>223</x:v>
      </x:c>
      <x:c r="G51" s="45" t="n">
        <x:v>0.3493207097053528</x:v>
      </x:c>
      <x:c r="H51" s="44" t="n">
        <x:v>0.29533687233924866</x:v>
      </x:c>
      <x:c r="I51" s="44" t="n">
        <x:v>0.41388416290283203</x:v>
      </x:c>
      <x:c r="J51" s="45" t="n">
        <x:v>-0.024062320590019226</x:v>
      </x:c>
      <x:c r="K51" s="44" t="n">
        <x:v>-0.07336937636137009</x:v>
      </x:c>
      <x:c r="L51" s="44" t="n">
        <x:v>0.03570346534252167</x:v>
      </x:c>
      <x:c r="M51" s="45" t="n">
        <x:v>-0.39524465799331665</x:v>
      </x:c>
      <x:c r="N51" s="44" t="n">
        <x:v>-0.426079660654068</x:v>
      </x:c>
      <x:c r="O51" s="44" t="n">
        <x:v>-0.37275567650794983</x:v>
      </x:c>
      <x:c r="P51" s="45" t="n">
        <x:v>0.05200888216495514</x:v>
      </x:c>
      <x:c r="Q51" s="44" t="n">
        <x:v>0.007931905798614025</x:v>
      </x:c>
      <x:c r="R51" s="44" t="n">
        <x:v>0.10485821962356567</x:v>
      </x:c>
      <x:c r="S51" s="44" t="n">
        <x:v>223</x:v>
      </x:c>
      <x:c r="T51" s="44" t="n">
        <x:v>0.16591928251121077</x:v>
      </x:c>
      <x:c r="U51" s="44" t="n">
        <x:v>0</x:v>
      </x:c>
      <x:c r="V51" s="44" t="n">
        <x:v>0.8161434977578476</x:v>
      </x:c>
      <x:c r="W51" s="44" t="n">
        <x:v>0</x:v>
      </x:c>
      <x:c r="X51" s="44" t="n">
        <x:v>0.017937219730941704</x:v>
      </x:c>
      <x:c r="Y51" s="44" t="n">
        <x:v>0</x:v>
      </x:c>
      <x:c r="Z51" s="44" t="n">
        <x:v>0.9235294117647059</x:v>
      </x:c>
      <x:c r="AA51" s="45" t="n">
        <x:v>0.07647058823529412</x:v>
      </x:c>
      <x:c r="AB51" s="45" t="n">
        <x:v>0.7352941176470589</x:v>
      </x:c>
      <x:c r="AC51" s="45" t="n">
        <x:v>0.8058823529411765</x:v>
      </x:c>
      <x:c r="AD51" s="44" t="n">
        <x:v>0.3235294117647059</x:v>
      </x:c>
      <x:c r="AE51" s="44" t="n">
        <x:v>0.8294117647058824</x:v>
      </x:c>
      <x:c r="AF51" s="45" t="n">
        <x:v>0.4529411764705883</x:v>
      </x:c>
      <x:c r="AG51" s="45" t="n">
        <x:v>0.46078431372549017</x:v>
      </x:c>
      <x:c r="AH51" s="44" t="n">
        <x:v>0.20588235294117646</x:v>
      </x:c>
      <x:c r="AI51" s="44" t="n">
        <x:v>0.6764705882352942</x:v>
      </x:c>
      <x:c r="AJ51" s="45" t="n">
        <x:v>0.5</x:v>
      </x:c>
      <x:c r="AK51" s="45" t="n">
        <x:v>0.462037037037037</x:v>
      </x:c>
      <x:c r="AL51" s="45" t="n">
        <x:v>0.4585875090777052</x:v>
      </x:c>
      <x:c r="AM51" s="44" t="n">
        <x:v>0.45686274509803926</x:v>
      </x:c>
    </x:row>
    <x:row r="52" ht="15" hidden="0" customHeight="1">
      <x:c r="A52" s="44" t="str">
        <x:v>139-011</x:v>
      </x:c>
      <x:c r="B52" s="44" t="str">
        <x:v>Jandial complex</x:v>
      </x:c>
      <x:c r="C52" s="44" t="n">
        <x:v>250</x:v>
      </x:c>
      <x:c r="D52" s="44" t="str">
        <x:v>E2014</x:v>
      </x:c>
      <x:c r="E52" s="44" t="n">
        <x:v>2014</x:v>
      </x:c>
      <x:c r="F52" s="44" t="n">
        <x:v>223</x:v>
      </x:c>
      <x:c r="G52" s="45" t="n">
        <x:v>0.3851248025894165</x:v>
      </x:c>
      <x:c r="H52" s="44" t="n">
        <x:v>0.27581825852394104</x:v>
      </x:c>
      <x:c r="I52" s="44" t="n">
        <x:v>0.5001108050346375</x:v>
      </x:c>
      <x:c r="J52" s="45" t="n">
        <x:v>-0.025963596999645233</x:v>
      </x:c>
      <x:c r="K52" s="44" t="n">
        <x:v>-0.12190570682287216</x:v>
      </x:c>
      <x:c r="L52" s="44" t="n">
        <x:v>0.03574424237012863</x:v>
      </x:c>
      <x:c r="M52" s="45" t="n">
        <x:v>-0.3918660283088684</x:v>
      </x:c>
      <x:c r="N52" s="44" t="n">
        <x:v>-0.4405112564563751</x:v>
      </x:c>
      <x:c r="O52" s="44" t="n">
        <x:v>-0.35443204641342163</x:v>
      </x:c>
      <x:c r="P52" s="45" t="n">
        <x:v>0.04799584299325943</x:v>
      </x:c>
      <x:c r="Q52" s="44" t="n">
        <x:v>-0.040506765246391296</x:v>
      </x:c>
      <x:c r="R52" s="44" t="n">
        <x:v>0.1019330620765686</x:v>
      </x:c>
      <x:c r="S52" s="44" t="n">
        <x:v>223</x:v>
      </x:c>
      <x:c r="T52" s="44" t="n">
        <x:v>0.24663677130044842</x:v>
      </x:c>
      <x:c r="U52" s="44" t="n">
        <x:v>0.013452914798206279</x:v>
      </x:c>
      <x:c r="V52" s="44" t="n">
        <x:v>0.600896860986547</x:v>
      </x:c>
      <x:c r="W52" s="44" t="n">
        <x:v>0.026905829596412557</x:v>
      </x:c>
      <x:c r="X52" s="44" t="n">
        <x:v>0.11210762331838565</x:v>
      </x:c>
      <x:c r="Y52" s="44" t="n">
        <x:v>0</x:v>
      </x:c>
      <x:c r="Z52" s="44" t="n">
        <x:v>0.7</x:v>
      </x:c>
      <x:c r="AA52" s="45" t="n">
        <x:v>0.052941176470588235</x:v>
      </x:c>
      <x:c r="AB52" s="45" t="n">
        <x:v>0.7235294117647059</x:v>
      </x:c>
      <x:c r="AC52" s="45" t="n">
        <x:v>0.9823529411764705</x:v>
      </x:c>
      <x:c r="AD52" s="44" t="n">
        <x:v>0.7235294117647059</x:v>
      </x:c>
      <x:c r="AE52" s="44" t="n">
        <x:v>0.7117647058823529</x:v>
      </x:c>
      <x:c r="AF52" s="45" t="n">
        <x:v>0.38235294117647056</x:v>
      </x:c>
      <x:c r="AG52" s="45" t="n">
        <x:v>0.46078431372549017</x:v>
      </x:c>
      <x:c r="AH52" s="44" t="n">
        <x:v>0.20588235294117646</x:v>
      </x:c>
      <x:c r="AI52" s="44" t="n">
        <x:v>0.6764705882352942</x:v>
      </x:c>
      <x:c r="AJ52" s="45" t="n">
        <x:v>0.5</x:v>
      </x:c>
      <x:c r="AK52" s="45" t="n">
        <x:v>0.4842592592592592</x:v>
      </x:c>
      <x:c r="AL52" s="45" t="n">
        <x:v>0.44246550472040663</x:v>
      </x:c>
      <x:c r="AM52" s="44" t="n">
        <x:v>0.42156862745098034</x:v>
      </x:c>
    </x:row>
    <x:row r="53" ht="15" hidden="0" customHeight="1">
      <x:c r="A53" s="44" t="str">
        <x:v>139-011</x:v>
      </x:c>
      <x:c r="B53" s="44" t="str">
        <x:v>Jandial complex</x:v>
      </x:c>
      <x:c r="C53" s="44" t="n">
        <x:v>250</x:v>
      </x:c>
      <x:c r="D53" s="44" t="str">
        <x:v>E2019</x:v>
      </x:c>
      <x:c r="E53" s="44" t="n">
        <x:v>2019</x:v>
      </x:c>
      <x:c r="F53" s="44" t="n">
        <x:v>223</x:v>
      </x:c>
      <x:c r="G53" s="45" t="n">
        <x:v>0.38026294112205505</x:v>
      </x:c>
      <x:c r="H53" s="44" t="n">
        <x:v>0.2657032907009125</x:v>
      </x:c>
      <x:c r="I53" s="44" t="n">
        <x:v>0.4944583773612976</x:v>
      </x:c>
      <x:c r="J53" s="45" t="n">
        <x:v>-0.042098432779312134</x:v>
      </x:c>
      <x:c r="K53" s="44" t="n">
        <x:v>-0.1258642077445984</x:v>
      </x:c>
      <x:c r="L53" s="44" t="n">
        <x:v>0.02833215519785881</x:v>
      </x:c>
      <x:c r="M53" s="45" t="n">
        <x:v>-0.38173291087150574</x:v>
      </x:c>
      <x:c r="N53" s="44" t="n">
        <x:v>-0.43260905146598816</x:v>
      </x:c>
      <x:c r="O53" s="44" t="n">
        <x:v>-0.33582159876823425</x:v>
      </x:c>
      <x:c r="P53" s="45" t="n">
        <x:v>0.03912326693534851</x:v>
      </x:c>
      <x:c r="Q53" s="44" t="n">
        <x:v>-0.039047639816999435</x:v>
      </x:c>
      <x:c r="R53" s="44" t="n">
        <x:v>0.10084842890501022</x:v>
      </x:c>
      <x:c r="S53" s="44" t="n">
        <x:v>223</x:v>
      </x:c>
      <x:c r="T53" s="44" t="n">
        <x:v>0.3094170403587444</x:v>
      </x:c>
      <x:c r="U53" s="44" t="n">
        <x:v>0</x:v>
      </x:c>
      <x:c r="V53" s="44" t="n">
        <x:v>0.5919282511210763</x:v>
      </x:c>
      <x:c r="W53" s="44" t="n">
        <x:v>0.017937219730941704</x:v>
      </x:c>
      <x:c r="X53" s="44" t="n">
        <x:v>0.08071748878923767</x:v>
      </x:c>
      <x:c r="Y53" s="44" t="n">
        <x:v>0</x:v>
      </x:c>
      <x:c r="Z53" s="44" t="n">
        <x:v>0.7588235294117647</x:v>
      </x:c>
      <x:c r="AA53" s="45" t="n">
        <x:v>0.0058823529411764705</x:v>
      </x:c>
      <x:c r="AB53" s="45" t="n">
        <x:v>0.5941176470588235</x:v>
      </x:c>
      <x:c r="AC53" s="45" t="n">
        <x:v>0.9941176470588236</x:v>
      </x:c>
      <x:c r="AD53" s="44" t="n">
        <x:v>0.3235294117647059</x:v>
      </x:c>
      <x:c r="AE53" s="44" t="n">
        <x:v>0.6764705882352942</x:v>
      </x:c>
      <x:c r="AF53" s="45" t="n">
        <x:v>0.3411764705882353</x:v>
      </x:c>
      <x:c r="AG53" s="45" t="n">
        <x:v>0.46078431372549017</x:v>
      </x:c>
      <x:c r="AH53" s="44" t="n">
        <x:v>0.20588235294117646</x:v>
      </x:c>
      <x:c r="AI53" s="44" t="n">
        <x:v>0.6764705882352942</x:v>
      </x:c>
      <x:c r="AJ53" s="45" t="n">
        <x:v>0.5</x:v>
      </x:c>
      <x:c r="AK53" s="45" t="n">
        <x:v>0.3138888888888889</x:v>
      </x:c>
      <x:c r="AL53" s="45" t="n">
        <x:v>0.3719498910675381</x:v>
      </x:c>
      <x:c r="AM53" s="44" t="n">
        <x:v>0.40098039215686276</x:v>
      </x:c>
    </x:row>
    <x:row r="54" ht="15" hidden="0" customHeight="1">
      <x:c r="A54" s="44" t="str">
        <x:v>139-011</x:v>
      </x:c>
      <x:c r="B54" s="44" t="str">
        <x:v>Jandial complex</x:v>
      </x:c>
      <x:c r="C54" s="44" t="n">
        <x:v>250</x:v>
      </x:c>
      <x:c r="D54" s="44" t="str">
        <x:v>E2024</x:v>
      </x:c>
      <x:c r="E54" s="44" t="n">
        <x:v>2024</x:v>
      </x:c>
      <x:c r="F54" s="44" t="n">
        <x:v>223</x:v>
      </x:c>
      <x:c r="G54" s="45" t="n">
        <x:v>0.41625267267227173</x:v>
      </x:c>
      <x:c r="H54" s="44" t="n">
        <x:v>0.29372113943099976</x:v>
      </x:c>
      <x:c r="I54" s="44" t="n">
        <x:v>0.5643211007118225</x:v>
      </x:c>
      <x:c r="J54" s="45" t="n">
        <x:v>-0.056678757071495056</x:v>
      </x:c>
      <x:c r="K54" s="44" t="n">
        <x:v>-0.17226625978946686</x:v>
      </x:c>
      <x:c r="L54" s="44" t="n">
        <x:v>0.014225666411221027</x:v>
      </x:c>
      <x:c r="M54" s="45" t="n">
        <x:v>-0.39070215821266174</x:v>
      </x:c>
      <x:c r="N54" s="44" t="n">
        <x:v>-0.43277132511138916</x:v>
      </x:c>
      <x:c r="O54" s="44" t="n">
        <x:v>-0.34492889046669006</x:v>
      </x:c>
      <x:c r="P54" s="45" t="n">
        <x:v>0.024587063118815422</x:v>
      </x:c>
      <x:c r="Q54" s="44" t="n">
        <x:v>-0.08646345883607864</x:v>
      </x:c>
      <x:c r="R54" s="44" t="n">
        <x:v>0.08409252017736435</x:v>
      </x:c>
      <x:c r="S54" s="44" t="n">
        <x:v>223</x:v>
      </x:c>
      <x:c r="T54" s="44" t="n">
        <x:v>0.242152466367713</x:v>
      </x:c>
      <x:c r="U54" s="44" t="n">
        <x:v>0</x:v>
      </x:c>
      <x:c r="V54" s="44" t="n">
        <x:v>0.6412556053811659</x:v>
      </x:c>
      <x:c r="W54" s="44" t="n">
        <x:v>0.053811659192825115</x:v>
      </x:c>
      <x:c r="X54" s="44" t="n">
        <x:v>0.06278026905829596</x:v>
      </x:c>
      <x:c r="Y54" s="44" t="n">
        <x:v>0</x:v>
      </x:c>
      <x:c r="Z54" s="44" t="n">
        <x:v>0.5235294117647059</x:v>
      </x:c>
      <x:c r="AA54" s="45" t="n">
        <x:v>0.01764705882352941</x:v>
      </x:c>
      <x:c r="AB54" s="45" t="n">
        <x:v>0.45294117647058824</x:v>
      </x:c>
      <x:c r="AC54" s="45" t="n">
        <x:v>0.9588235294117647</x:v>
      </x:c>
      <x:c r="AD54" s="44" t="n">
        <x:v>0.3235294117647059</x:v>
      </x:c>
      <x:c r="AE54" s="44" t="n">
        <x:v>0.4882352941176471</x:v>
      </x:c>
      <x:c r="AF54" s="45" t="n">
        <x:v>0.2529411764705883</x:v>
      </x:c>
      <x:c r="AG54" s="45" t="n">
        <x:v>0.46078431372549017</x:v>
      </x:c>
      <x:c r="AH54" s="44" t="n">
        <x:v>0.20588235294117646</x:v>
      </x:c>
      <x:c r="AI54" s="44" t="n">
        <x:v>0.6764705882352942</x:v>
      </x:c>
      <x:c r="AJ54" s="45" t="n">
        <x:v>0.5</x:v>
      </x:c>
      <x:c r="AK54" s="45" t="n">
        <x:v>0.5259259259259259</x:v>
      </x:c>
      <x:c r="AL54" s="45" t="n">
        <x:v>0.41321713870733473</x:v>
      </x:c>
      <x:c r="AM54" s="44" t="n">
        <x:v>0.3568627450980392</x:v>
      </x:c>
    </x:row>
    <x:row r="55" ht="15" hidden="0" customHeight="1">
      <x:c r="A55" s="44" t="str">
        <x:v>139-012</x:v>
      </x:c>
      <x:c r="B55" s="44" t="str">
        <x:v>Lalchak and Badalpur Buddhist stuppa</x:v>
      </x:c>
      <x:c r="C55" s="44" t="n">
        <x:v>250</x:v>
      </x:c>
      <x:c r="D55" s="44" t="str">
        <x:v>E2004</x:v>
      </x:c>
      <x:c r="E55" s="44" t="n">
        <x:v>2004</x:v>
      </x:c>
      <x:c r="F55" s="44" t="n">
        <x:v>218</x:v>
      </x:c>
      <x:c r="G55" s="45" t="n">
        <x:v>0.45696794986724854</x:v>
      </x:c>
      <x:c r="H55" s="44" t="n">
        <x:v>0.3967526853084564</x:v>
      </x:c>
      <x:c r="I55" s="44" t="n">
        <x:v>0.51485276222229</x:v>
      </x:c>
      <x:c r="J55" s="45" t="n">
        <x:v>-0.08489546179771423</x:v>
      </x:c>
      <x:c r="K55" s="44" t="n">
        <x:v>-0.13644857704639435</x:v>
      </x:c>
      <x:c r="L55" s="44" t="n">
        <x:v>-0.030799970030784607</x:v>
      </x:c>
      <x:c r="M55" s="45" t="n">
        <x:v>-0.4238312840461731</x:v>
      </x:c>
      <x:c r="N55" s="44" t="n">
        <x:v>-0.44544631242752075</x:v>
      </x:c>
      <x:c r="O55" s="44" t="n">
        <x:v>-0.4002547562122345</x:v>
      </x:c>
      <x:c r="P55" s="45" t="n">
        <x:v>-0.001996314851567149</x:v>
      </x:c>
      <x:c r="Q55" s="44" t="n">
        <x:v>-0.05285011604428291</x:v>
      </x:c>
      <x:c r="R55" s="44" t="n">
        <x:v>0.05049090087413788</x:v>
      </x:c>
      <x:c r="S55" s="44" t="n">
        <x:v>218</x:v>
      </x:c>
      <x:c r="T55" s="44" t="n">
        <x:v>0.013761467889908258</x:v>
      </x:c>
      <x:c r="U55" s="44" t="n">
        <x:v>0</x:v>
      </x:c>
      <x:c r="V55" s="44" t="n">
        <x:v>0.6376146788990825</x:v>
      </x:c>
      <x:c r="W55" s="44" t="n">
        <x:v>0.1559633027522936</x:v>
      </x:c>
      <x:c r="X55" s="44" t="n">
        <x:v>0.1926605504587156</x:v>
      </x:c>
      <x:c r="Y55" s="44" t="n">
        <x:v>0</x:v>
      </x:c>
      <x:c r="Z55" s="44" t="n">
        <x:v>0.34705882352941175</x:v>
      </x:c>
      <x:c r="AA55" s="45" t="n">
        <x:v>0.5235294117647059</x:v>
      </x:c>
      <x:c r="AB55" s="45" t="n">
        <x:v>0.3</x:v>
      </x:c>
      <x:c r="AC55" s="45" t="n">
        <x:v>0.34705882352941175</x:v>
      </x:c>
      <x:c r="AD55" s="44" t="n">
        <x:v>0.3235294117647059</x:v>
      </x:c>
      <x:c r="AE55" s="44" t="n">
        <x:v>0.32352941176470584</x:v>
      </x:c>
      <x:c r="AF55" s="45" t="n">
        <x:v>0.4235294117647059</x:v>
      </x:c>
      <x:c r="AG55" s="45" t="n">
        <x:v>0.2843137254901961</x:v>
      </x:c>
      <x:c r="AH55" s="44" t="n">
        <x:v>0.029411764705882353</x:v>
      </x:c>
      <x:c r="AI55" s="44" t="n">
        <x:v>0.7352941176470589</x:v>
      </x:c>
      <x:c r="AJ55" s="45" t="n">
        <x:v>0.08823529411764706</x:v>
      </x:c>
      <x:c r="AK55" s="45" t="n">
        <x:v>0.5166666666666666</x:v>
      </x:c>
      <x:c r="AL55" s="45" t="n">
        <x:v>0.4081699346405229</x:v>
      </x:c>
      <x:c r="AM55" s="44" t="n">
        <x:v>0.353921568627451</x:v>
      </x:c>
    </x:row>
    <x:row r="56" ht="15" hidden="0" customHeight="1">
      <x:c r="A56" s="44" t="str">
        <x:v>139-012</x:v>
      </x:c>
      <x:c r="B56" s="44" t="str">
        <x:v>Lalchak and Badalpur Buddhist stuppa</x:v>
      </x:c>
      <x:c r="C56" s="44" t="n">
        <x:v>250</x:v>
      </x:c>
      <x:c r="D56" s="44" t="str">
        <x:v>E2009</x:v>
      </x:c>
      <x:c r="E56" s="44" t="n">
        <x:v>2009</x:v>
      </x:c>
      <x:c r="F56" s="44" t="n">
        <x:v>218</x:v>
      </x:c>
      <x:c r="G56" s="45" t="n">
        <x:v>0.46706199645996094</x:v>
      </x:c>
      <x:c r="H56" s="44" t="n">
        <x:v>0.3993450701236725</x:v>
      </x:c>
      <x:c r="I56" s="44" t="n">
        <x:v>0.5257850885391235</x:v>
      </x:c>
      <x:c r="J56" s="45" t="n">
        <x:v>-0.09895803034305573</x:v>
      </x:c>
      <x:c r="K56" s="44" t="n">
        <x:v>-0.1462320238351822</x:v>
      </x:c>
      <x:c r="L56" s="44" t="n">
        <x:v>-0.049351416528224945</x:v>
      </x:c>
      <x:c r="M56" s="45" t="n">
        <x:v>-0.4192318320274353</x:v>
      </x:c>
      <x:c r="N56" s="44" t="n">
        <x:v>-0.447451114654541</x:v>
      </x:c>
      <x:c r="O56" s="44" t="n">
        <x:v>-0.3860061466693878</x:v>
      </x:c>
      <x:c r="P56" s="45" t="n">
        <x:v>-0.016427788883447647</x:v>
      </x:c>
      <x:c r="Q56" s="44" t="n">
        <x:v>-0.0627577155828476</x:v>
      </x:c>
      <x:c r="R56" s="44" t="n">
        <x:v>0.027942489832639694</x:v>
      </x:c>
      <x:c r="S56" s="44" t="n">
        <x:v>218</x:v>
      </x:c>
      <x:c r="T56" s="44" t="n">
        <x:v>0.03669724770642202</x:v>
      </x:c>
      <x:c r="U56" s="44" t="n">
        <x:v>0</x:v>
      </x:c>
      <x:c r="V56" s="44" t="n">
        <x:v>0.591743119266055</x:v>
      </x:c>
      <x:c r="W56" s="44" t="n">
        <x:v>0.17889908256880735</x:v>
      </x:c>
      <x:c r="X56" s="44" t="n">
        <x:v>0.1926605504587156</x:v>
      </x:c>
      <x:c r="Y56" s="44" t="n">
        <x:v>0</x:v>
      </x:c>
      <x:c r="Z56" s="44" t="n">
        <x:v>0.31176470588235294</x:v>
      </x:c>
      <x:c r="AA56" s="45" t="n">
        <x:v>0.4176470588235294</x:v>
      </x:c>
      <x:c r="AB56" s="45" t="n">
        <x:v>0.2647058823529412</x:v>
      </x:c>
      <x:c r="AC56" s="45" t="n">
        <x:v>0.45294117647058824</x:v>
      </x:c>
      <x:c r="AD56" s="44" t="n">
        <x:v>0.3235294117647059</x:v>
      </x:c>
      <x:c r="AE56" s="44" t="n">
        <x:v>0.28823529411764703</x:v>
      </x:c>
      <x:c r="AF56" s="45" t="n">
        <x:v>0.3529411764705882</x:v>
      </x:c>
      <x:c r="AG56" s="45" t="n">
        <x:v>0.2843137254901961</x:v>
      </x:c>
      <x:c r="AH56" s="44" t="n">
        <x:v>0.029411764705882353</x:v>
      </x:c>
      <x:c r="AI56" s="44" t="n">
        <x:v>0.7352941176470589</x:v>
      </x:c>
      <x:c r="AJ56" s="45" t="n">
        <x:v>0.08823529411764706</x:v>
      </x:c>
      <x:c r="AK56" s="45" t="n">
        <x:v>0.462037037037037</x:v>
      </x:c>
      <x:c r="AL56" s="45" t="n">
        <x:v>0.3664306463326071</x:v>
      </x:c>
      <x:c r="AM56" s="44" t="n">
        <x:v>0.31862745098039214</x:v>
      </x:c>
    </x:row>
    <x:row r="57" ht="15" hidden="0" customHeight="1">
      <x:c r="A57" s="44" t="str">
        <x:v>139-012</x:v>
      </x:c>
      <x:c r="B57" s="44" t="str">
        <x:v>Lalchak and Badalpur Buddhist stuppa</x:v>
      </x:c>
      <x:c r="C57" s="44" t="n">
        <x:v>250</x:v>
      </x:c>
      <x:c r="D57" s="44" t="str">
        <x:v>E2014</x:v>
      </x:c>
      <x:c r="E57" s="44" t="n">
        <x:v>2014</x:v>
      </x:c>
      <x:c r="F57" s="44" t="n">
        <x:v>218</x:v>
      </x:c>
      <x:c r="G57" s="45" t="n">
        <x:v>0.5076805949211121</x:v>
      </x:c>
      <x:c r="H57" s="44" t="n">
        <x:v>0.3756243586540222</x:v>
      </x:c>
      <x:c r="I57" s="44" t="n">
        <x:v>0.6151120662689209</x:v>
      </x:c>
      <x:c r="J57" s="45" t="n">
        <x:v>-0.11454803496599197</x:v>
      </x:c>
      <x:c r="K57" s="44" t="n">
        <x:v>-0.21303190290927887</x:v>
      </x:c>
      <x:c r="L57" s="44" t="n">
        <x:v>-0.023745238780975342</x:v>
      </x:c>
      <x:c r="M57" s="45" t="n">
        <x:v>-0.4225143790245056</x:v>
      </x:c>
      <x:c r="N57" s="44" t="n">
        <x:v>-0.4536453187465668</x:v>
      </x:c>
      <x:c r="O57" s="44" t="n">
        <x:v>-0.3722923696041107</x:v>
      </x:c>
      <x:c r="P57" s="45" t="n">
        <x:v>-0.03214098513126373</x:v>
      </x:c>
      <x:c r="Q57" s="44" t="n">
        <x:v>-0.12481050193309784</x:v>
      </x:c>
      <x:c r="R57" s="44" t="n">
        <x:v>0.051591213792562485</x:v>
      </x:c>
      <x:c r="S57" s="44" t="n">
        <x:v>218</x:v>
      </x:c>
      <x:c r="T57" s="44" t="n">
        <x:v>0.10091743119266056</x:v>
      </x:c>
      <x:c r="U57" s="44" t="n">
        <x:v>0</x:v>
      </x:c>
      <x:c r="V57" s="44" t="n">
        <x:v>0.3577981651376147</x:v>
      </x:c>
      <x:c r="W57" s="44" t="n">
        <x:v>0.4724770642201835</x:v>
      </x:c>
      <x:c r="X57" s="44" t="n">
        <x:v>0.06880733944954129</x:v>
      </x:c>
      <x:c r="Y57" s="44" t="n">
        <x:v>0</x:v>
      </x:c>
      <x:c r="Z57" s="44" t="n">
        <x:v>0.21764705882352942</x:v>
      </x:c>
      <x:c r="AA57" s="45" t="n">
        <x:v>0.48823529411764705</x:v>
      </x:c>
      <x:c r="AB57" s="45" t="n">
        <x:v>0.19411764705882353</x:v>
      </x:c>
      <x:c r="AC57" s="45" t="n">
        <x:v>0.6411764705882353</x:v>
      </x:c>
      <x:c r="AD57" s="44" t="n">
        <x:v>0.3235294117647059</x:v>
      </x:c>
      <x:c r="AE57" s="44" t="n">
        <x:v>0.20588235294117646</x:v>
      </x:c>
      <x:c r="AF57" s="45" t="n">
        <x:v>0.34705882352941175</x:v>
      </x:c>
      <x:c r="AG57" s="45" t="n">
        <x:v>0.2843137254901961</x:v>
      </x:c>
      <x:c r="AH57" s="44" t="n">
        <x:v>0.029411764705882353</x:v>
      </x:c>
      <x:c r="AI57" s="44" t="n">
        <x:v>0.7352941176470589</x:v>
      </x:c>
      <x:c r="AJ57" s="45" t="n">
        <x:v>0.08823529411764706</x:v>
      </x:c>
      <x:c r="AK57" s="45" t="n">
        <x:v>0.4842592592592592</x:v>
      </x:c>
      <x:c r="AL57" s="45" t="n">
        <x:v>0.371877269426289</x:v>
      </x:c>
      <x:c r="AM57" s="44" t="n">
        <x:v>0.3156862745098039</x:v>
      </x:c>
    </x:row>
    <x:row r="58" ht="15" hidden="0" customHeight="1">
      <x:c r="A58" s="44" t="str">
        <x:v>139-012</x:v>
      </x:c>
      <x:c r="B58" s="44" t="str">
        <x:v>Lalchak and Badalpur Buddhist stuppa</x:v>
      </x:c>
      <x:c r="C58" s="44" t="n">
        <x:v>250</x:v>
      </x:c>
      <x:c r="D58" s="44" t="str">
        <x:v>E2019</x:v>
      </x:c>
      <x:c r="E58" s="44" t="n">
        <x:v>2019</x:v>
      </x:c>
      <x:c r="F58" s="44" t="n">
        <x:v>217</x:v>
      </x:c>
      <x:c r="G58" s="45" t="n">
        <x:v>0.5019766092300415</x:v>
      </x:c>
      <x:c r="H58" s="44" t="n">
        <x:v>0.34559956192970276</x:v>
      </x:c>
      <x:c r="I58" s="44" t="n">
        <x:v>0.5780817270278931</x:v>
      </x:c>
      <x:c r="J58" s="45" t="n">
        <x:v>-0.13255153596401215</x:v>
      </x:c>
      <x:c r="K58" s="44" t="n">
        <x:v>-0.20093970000743866</x:v>
      </x:c>
      <x:c r="L58" s="44" t="n">
        <x:v>-0.04532167688012123</x:v>
      </x:c>
      <x:c r="M58" s="45" t="n">
        <x:v>-0.40248391032218933</x:v>
      </x:c>
      <x:c r="N58" s="44" t="n">
        <x:v>-0.4379885494709015</x:v>
      </x:c>
      <x:c r="O58" s="44" t="n">
        <x:v>-0.33764129877090454</x:v>
      </x:c>
      <x:c r="P58" s="45" t="n">
        <x:v>-0.041262973099946976</x:v>
      </x:c>
      <x:c r="Q58" s="44" t="n">
        <x:v>-0.10722072422504425</x:v>
      </x:c>
      <x:c r="R58" s="44" t="n">
        <x:v>0.037583816796541214</x:v>
      </x:c>
      <x:c r="S58" s="44" t="n">
        <x:v>217</x:v>
      </x:c>
      <x:c r="T58" s="44" t="n">
        <x:v>0.20276497695852536</x:v>
      </x:c>
      <x:c r="U58" s="44" t="n">
        <x:v>0</x:v>
      </x:c>
      <x:c r="V58" s="44" t="n">
        <x:v>0.3087557603686636</x:v>
      </x:c>
      <x:c r="W58" s="44" t="n">
        <x:v>0.4423963133640553</x:v>
      </x:c>
      <x:c r="X58" s="44" t="n">
        <x:v>0.04608294930875576</x:v>
      </x:c>
      <x:c r="Y58" s="44" t="n">
        <x:v>0</x:v>
      </x:c>
      <x:c r="Z58" s="44" t="n">
        <x:v>0.2529411764705882</x:v>
      </x:c>
      <x:c r="AA58" s="45" t="n">
        <x:v>0.11176470588235295</x:v>
      </x:c>
      <x:c r="AB58" s="45" t="n">
        <x:v>0.1588235294117647</x:v>
      </x:c>
      <x:c r="AC58" s="45" t="n">
        <x:v>0.9</x:v>
      </x:c>
      <x:c r="AD58" s="44" t="n">
        <x:v>0.3235294117647059</x:v>
      </x:c>
      <x:c r="AE58" s="44" t="n">
        <x:v>0.20588235294117646</x:v>
      </x:c>
      <x:c r="AF58" s="45" t="n">
        <x:v>0.1588235294117647</x:v>
      </x:c>
      <x:c r="AG58" s="45" t="n">
        <x:v>0.2843137254901961</x:v>
      </x:c>
      <x:c r="AH58" s="44" t="n">
        <x:v>0.029411764705882353</x:v>
      </x:c>
      <x:c r="AI58" s="44" t="n">
        <x:v>0.7352941176470589</x:v>
      </x:c>
      <x:c r="AJ58" s="45" t="n">
        <x:v>0.08823529411764706</x:v>
      </x:c>
      <x:c r="AK58" s="45" t="n">
        <x:v>0.3138888888888889</x:v>
      </x:c>
      <x:c r="AL58" s="45" t="n">
        <x:v>0.2523420479302832</x:v>
      </x:c>
      <x:c r="AM58" s="44" t="n">
        <x:v>0.2215686274509804</x:v>
      </x:c>
    </x:row>
    <x:row r="59" ht="15" hidden="0" customHeight="1">
      <x:c r="A59" s="44" t="str">
        <x:v>139-012</x:v>
      </x:c>
      <x:c r="B59" s="44" t="str">
        <x:v>Lalchak and Badalpur Buddhist stuppa</x:v>
      </x:c>
      <x:c r="C59" s="44" t="n">
        <x:v>250</x:v>
      </x:c>
      <x:c r="D59" s="44" t="str">
        <x:v>E2024</x:v>
      </x:c>
      <x:c r="E59" s="44" t="n">
        <x:v>2024</x:v>
      </x:c>
      <x:c r="F59" s="44" t="n">
        <x:v>218</x:v>
      </x:c>
      <x:c r="G59" s="45" t="n">
        <x:v>0.5489324331283569</x:v>
      </x:c>
      <x:c r="H59" s="44" t="n">
        <x:v>0.39103397727012634</x:v>
      </x:c>
      <x:c r="I59" s="44" t="n">
        <x:v>0.6324981451034546</x:v>
      </x:c>
      <x:c r="J59" s="45" t="n">
        <x:v>-0.1583940088748932</x:v>
      </x:c>
      <x:c r="K59" s="44" t="n">
        <x:v>-0.21560369431972504</x:v>
      </x:c>
      <x:c r="L59" s="44" t="n">
        <x:v>-0.07469205558300018</x:v>
      </x:c>
      <x:c r="M59" s="45" t="n">
        <x:v>-0.42853453755378723</x:v>
      </x:c>
      <x:c r="N59" s="44" t="n">
        <x:v>-0.46496152877807617</x:v>
      </x:c>
      <x:c r="O59" s="44" t="n">
        <x:v>-0.36576512455940247</x:v>
      </x:c>
      <x:c r="P59" s="45" t="n">
        <x:v>-0.0716141015291214</x:v>
      </x:c>
      <x:c r="Q59" s="44" t="n">
        <x:v>-0.1329651176929474</x:v>
      </x:c>
      <x:c r="R59" s="44" t="n">
        <x:v>0.0125553198158741</x:v>
      </x:c>
      <x:c r="S59" s="44" t="n">
        <x:v>218</x:v>
      </x:c>
      <x:c r="T59" s="44" t="n">
        <x:v>0.0779816513761468</x:v>
      </x:c>
      <x:c r="U59" s="44" t="n">
        <x:v>0</x:v>
      </x:c>
      <x:c r="V59" s="44" t="n">
        <x:v>0.39908256880733944</x:v>
      </x:c>
      <x:c r="W59" s="44" t="n">
        <x:v>0.46788990825688076</x:v>
      </x:c>
      <x:c r="X59" s="44" t="n">
        <x:v>0.05504587155963303</x:v>
      </x:c>
      <x:c r="Y59" s="44" t="n">
        <x:v>0</x:v>
      </x:c>
      <x:c r="Z59" s="44" t="n">
        <x:v>0.08823529411764706</x:v>
      </x:c>
      <x:c r="AA59" s="45" t="n">
        <x:v>0.6176470588235294</x:v>
      </x:c>
      <x:c r="AB59" s="45" t="n">
        <x:v>0.08823529411764706</x:v>
      </x:c>
      <x:c r="AC59" s="45" t="n">
        <x:v>0.5470588235294118</x:v>
      </x:c>
      <x:c r="AD59" s="44" t="n">
        <x:v>0.3235294117647059</x:v>
      </x:c>
      <x:c r="AE59" s="44" t="n">
        <x:v>0.08823529411764706</x:v>
      </x:c>
      <x:c r="AF59" s="45" t="n">
        <x:v>0.35294117647058826</x:v>
      </x:c>
      <x:c r="AG59" s="45" t="n">
        <x:v>0.2843137254901961</x:v>
      </x:c>
      <x:c r="AH59" s="44" t="n">
        <x:v>0.029411764705882353</x:v>
      </x:c>
      <x:c r="AI59" s="44" t="n">
        <x:v>0.7352941176470589</x:v>
      </x:c>
      <x:c r="AJ59" s="45" t="n">
        <x:v>0.08823529411764706</x:v>
      </x:c>
      <x:c r="AK59" s="45" t="n">
        <x:v>0.5259259259259259</x:v>
      </x:c>
      <x:c r="AL59" s="45" t="n">
        <x:v>0.38772694262890345</x:v>
      </x:c>
      <x:c r="AM59" s="44" t="n">
        <x:v>0.3186274509803922</x:v>
      </x:c>
    </x:row>
    <x:row r="60" ht="15" hidden="0" customHeight="1">
      <x:c r="A60" s="44" t="str">
        <x:v>139-013</x:v>
      </x:c>
      <x:c r="B60" s="44" t="str">
        <x:v>Mohra Moradu stupa and monastery</x:v>
      </x:c>
      <x:c r="C60" s="44" t="n">
        <x:v>250</x:v>
      </x:c>
      <x:c r="D60" s="44" t="str">
        <x:v>E2004</x:v>
      </x:c>
      <x:c r="E60" s="44" t="n">
        <x:v>2004</x:v>
      </x:c>
      <x:c r="F60" s="44" t="n">
        <x:v>222</x:v>
      </x:c>
      <x:c r="G60" s="45" t="n">
        <x:v>0.38136452436447144</x:v>
      </x:c>
      <x:c r="H60" s="44" t="n">
        <x:v>0.309330016374588</x:v>
      </x:c>
      <x:c r="I60" s="44" t="n">
        <x:v>0.5326514840126038</x:v>
      </x:c>
      <x:c r="J60" s="45" t="n">
        <x:v>-0.04159465804696083</x:v>
      </x:c>
      <x:c r="K60" s="44" t="n">
        <x:v>-0.20248845219612122</x:v>
      </x:c>
      <x:c r="L60" s="44" t="n">
        <x:v>0.054688382893800735</x:v>
      </x:c>
      <x:c r="M60" s="45" t="n">
        <x:v>-0.40443792939186096</x:v>
      </x:c>
      <x:c r="N60" s="44" t="n">
        <x:v>-0.46399036049842834</x:v>
      </x:c>
      <x:c r="O60" s="44" t="n">
        <x:v>-0.310463547706604</x:v>
      </x:c>
      <x:c r="P60" s="45" t="n">
        <x:v>0.03746340423822403</x:v>
      </x:c>
      <x:c r="Q60" s="44" t="n">
        <x:v>-0.11594155430793762</x:v>
      </x:c>
      <x:c r="R60" s="44" t="n">
        <x:v>0.1186586543917656</x:v>
      </x:c>
      <x:c r="S60" s="44" t="n">
        <x:v>222</x:v>
      </x:c>
      <x:c r="T60" s="44" t="n">
        <x:v>0.12612612612612611</x:v>
      </x:c>
      <x:c r="U60" s="44" t="n">
        <x:v>0</x:v>
      </x:c>
      <x:c r="V60" s="44" t="n">
        <x:v>0.2747747747747748</x:v>
      </x:c>
      <x:c r="W60" s="44" t="n">
        <x:v>0.18468468468468469</x:v>
      </x:c>
      <x:c r="X60" s="44" t="n">
        <x:v>0.4144144144144144</x:v>
      </x:c>
      <x:c r="Y60" s="44" t="n">
        <x:v>0</x:v>
      </x:c>
      <x:c r="Z60" s="44" t="n">
        <x:v>0.7352941176470589</x:v>
      </x:c>
      <x:c r="AA60" s="45" t="n">
        <x:v>0.1588235294117647</x:v>
      </x:c>
      <x:c r="AB60" s="45" t="n">
        <x:v>0.6058823529411764</x:v>
      </x:c>
      <x:c r="AC60" s="45" t="n">
        <x:v>0.711764705882353</x:v>
      </x:c>
      <x:c r="AD60" s="44" t="n">
        <x:v>0.3235294117647059</x:v>
      </x:c>
      <x:c r="AE60" s="44" t="n">
        <x:v>0.6705882352941177</x:v>
      </x:c>
      <x:c r="AF60" s="45" t="n">
        <x:v>0.4147058823529412</x:v>
      </x:c>
      <x:c r="AG60" s="45" t="n">
        <x:v>0.6372549019607843</x:v>
      </x:c>
      <x:c r="AH60" s="44" t="n">
        <x:v>0.9117647058823529</x:v>
      </x:c>
      <x:c r="AI60" s="44" t="n">
        <x:v>0.029411764705882353</x:v>
      </x:c>
      <x:c r="AJ60" s="45" t="n">
        <x:v>0.9705882352941176</x:v>
      </x:c>
      <x:c r="AK60" s="45" t="n">
        <x:v>0.5166666666666666</x:v>
      </x:c>
      <x:c r="AL60" s="45" t="n">
        <x:v>0.5228758169934641</x:v>
      </x:c>
      <x:c r="AM60" s="44" t="n">
        <x:v>0.5259803921568628</x:v>
      </x:c>
    </x:row>
    <x:row r="61" ht="15" hidden="0" customHeight="1">
      <x:c r="A61" s="44" t="str">
        <x:v>139-013</x:v>
      </x:c>
      <x:c r="B61" s="44" t="str">
        <x:v>Mohra Moradu stupa and monastery</x:v>
      </x:c>
      <x:c r="C61" s="44" t="n">
        <x:v>250</x:v>
      </x:c>
      <x:c r="D61" s="44" t="str">
        <x:v>E2009</x:v>
      </x:c>
      <x:c r="E61" s="44" t="n">
        <x:v>2009</x:v>
      </x:c>
      <x:c r="F61" s="44" t="n">
        <x:v>222</x:v>
      </x:c>
      <x:c r="G61" s="45" t="n">
        <x:v>0.3876684904098511</x:v>
      </x:c>
      <x:c r="H61" s="44" t="n">
        <x:v>0.2928255796432495</x:v>
      </x:c>
      <x:c r="I61" s="44" t="n">
        <x:v>0.5538118481636047</x:v>
      </x:c>
      <x:c r="J61" s="45" t="n">
        <x:v>-0.047008782625198364</x:v>
      </x:c>
      <x:c r="K61" s="44" t="n">
        <x:v>-0.21161818504333496</x:v>
      </x:c>
      <x:c r="L61" s="44" t="n">
        <x:v>0.07056282460689545</x:v>
      </x:c>
      <x:c r="M61" s="45" t="n">
        <x:v>-0.402275413274765</x:v>
      </x:c>
      <x:c r="N61" s="44" t="n">
        <x:v>-0.4573971629142761</x:v>
      </x:c>
      <x:c r="O61" s="44" t="n">
        <x:v>-0.33549878001213074</x:v>
      </x:c>
      <x:c r="P61" s="45" t="n">
        <x:v>0.0264216847717762</x:v>
      </x:c>
      <x:c r="Q61" s="44" t="n">
        <x:v>-0.13270273804664612</x:v>
      </x:c>
      <x:c r="R61" s="44" t="n">
        <x:v>0.1324492245912552</x:v>
      </x:c>
      <x:c r="S61" s="44" t="n">
        <x:v>222</x:v>
      </x:c>
      <x:c r="T61" s="44" t="n">
        <x:v>0.18018018018018017</x:v>
      </x:c>
      <x:c r="U61" s="44" t="n">
        <x:v>0</x:v>
      </x:c>
      <x:c r="V61" s="44" t="n">
        <x:v>0.32432432432432434</x:v>
      </x:c>
      <x:c r="W61" s="44" t="n">
        <x:v>0.22072072072072071</x:v>
      </x:c>
      <x:c r="X61" s="44" t="n">
        <x:v>0.2747747747747748</x:v>
      </x:c>
      <x:c r="Y61" s="44" t="n">
        <x:v>0</x:v>
      </x:c>
      <x:c r="Z61" s="44" t="n">
        <x:v>0.6764705882352942</x:v>
      </x:c>
      <x:c r="AA61" s="45" t="n">
        <x:v>0.1</x:v>
      </x:c>
      <x:c r="AB61" s="45" t="n">
        <x:v>0.5470588235294118</x:v>
      </x:c>
      <x:c r="AC61" s="45" t="n">
        <x:v>0.8411764705882353</x:v>
      </x:c>
      <x:c r="AD61" s="44" t="n">
        <x:v>0.3235294117647059</x:v>
      </x:c>
      <x:c r="AE61" s="44" t="n">
        <x:v>0.611764705882353</x:v>
      </x:c>
      <x:c r="AF61" s="45" t="n">
        <x:v>0.3558823529411765</x:v>
      </x:c>
      <x:c r="AG61" s="45" t="n">
        <x:v>0.6372549019607843</x:v>
      </x:c>
      <x:c r="AH61" s="44" t="n">
        <x:v>0.9117647058823529</x:v>
      </x:c>
      <x:c r="AI61" s="44" t="n">
        <x:v>0.029411764705882353</x:v>
      </x:c>
      <x:c r="AJ61" s="45" t="n">
        <x:v>0.9705882352941176</x:v>
      </x:c>
      <x:c r="AK61" s="45" t="n">
        <x:v>0.462037037037037</x:v>
      </x:c>
      <x:c r="AL61" s="45" t="n">
        <x:v>0.48505809731299926</x:v>
      </x:c>
      <x:c r="AM61" s="44" t="n">
        <x:v>0.4965686274509804</x:v>
      </x:c>
    </x:row>
    <x:row r="62" ht="15" hidden="0" customHeight="1">
      <x:c r="A62" s="44" t="str">
        <x:v>139-013</x:v>
      </x:c>
      <x:c r="B62" s="44" t="str">
        <x:v>Mohra Moradu stupa and monastery</x:v>
      </x:c>
      <x:c r="C62" s="44" t="n">
        <x:v>250</x:v>
      </x:c>
      <x:c r="D62" s="44" t="str">
        <x:v>E2014</x:v>
      </x:c>
      <x:c r="E62" s="44" t="n">
        <x:v>2014</x:v>
      </x:c>
      <x:c r="F62" s="44" t="n">
        <x:v>222</x:v>
      </x:c>
      <x:c r="G62" s="45" t="n">
        <x:v>0.3827361464500427</x:v>
      </x:c>
      <x:c r="H62" s="44" t="n">
        <x:v>0.30943331122398376</x:v>
      </x:c>
      <x:c r="I62" s="44" t="n">
        <x:v>0.6938908696174622</x:v>
      </x:c>
      <x:c r="J62" s="45" t="n">
        <x:v>-0.03947591409087181</x:v>
      </x:c>
      <x:c r="K62" s="44" t="n">
        <x:v>-0.34943246841430664</x:v>
      </x:c>
      <x:c r="L62" s="44" t="n">
        <x:v>0.06141252815723419</x:v>
      </x:c>
      <x:c r="M62" s="45" t="n">
        <x:v>-0.4078245759010315</x:v>
      </x:c>
      <x:c r="N62" s="44" t="n">
        <x:v>-0.4465605318546295</x:v>
      </x:c>
      <x:c r="O62" s="44" t="n">
        <x:v>-0.3053816854953766</x:v>
      </x:c>
      <x:c r="P62" s="45" t="n">
        <x:v>0.03833789750933647</x:v>
      </x:c>
      <x:c r="Q62" s="44" t="n">
        <x:v>-0.266350120306015</x:v>
      </x:c>
      <x:c r="R62" s="44" t="n">
        <x:v>0.12053284049034119</x:v>
      </x:c>
      <x:c r="S62" s="44" t="n">
        <x:v>222</x:v>
      </x:c>
      <x:c r="T62" s="44" t="n">
        <x:v>0.0990990990990991</x:v>
      </x:c>
      <x:c r="U62" s="44" t="n">
        <x:v>0</x:v>
      </x:c>
      <x:c r="V62" s="44" t="n">
        <x:v>0.1981981981981982</x:v>
      </x:c>
      <x:c r="W62" s="44" t="n">
        <x:v>0.2927927927927928</x:v>
      </x:c>
      <x:c r="X62" s="44" t="n">
        <x:v>0.4099099099099099</x:v>
      </x:c>
      <x:c r="Y62" s="44" t="n">
        <x:v>0</x:v>
      </x:c>
      <x:c r="Z62" s="44" t="n">
        <x:v>0.711764705882353</x:v>
      </x:c>
      <x:c r="AA62" s="45" t="n">
        <x:v>0.2411764705882353</x:v>
      </x:c>
      <x:c r="AB62" s="45" t="n">
        <x:v>0.6176470588235294</x:v>
      </x:c>
      <x:c r="AC62" s="45" t="n">
        <x:v>0.5941176470588235</x:v>
      </x:c>
      <x:c r="AD62" s="44" t="n">
        <x:v>0.3235294117647059</x:v>
      </x:c>
      <x:c r="AE62" s="44" t="n">
        <x:v>0.6647058823529413</x:v>
      </x:c>
      <x:c r="AF62" s="45" t="n">
        <x:v>0.4529411764705883</x:v>
      </x:c>
      <x:c r="AG62" s="45" t="n">
        <x:v>0.6372549019607843</x:v>
      </x:c>
      <x:c r="AH62" s="44" t="n">
        <x:v>0.9117647058823529</x:v>
      </x:c>
      <x:c r="AI62" s="44" t="n">
        <x:v>0.029411764705882353</x:v>
      </x:c>
      <x:c r="AJ62" s="45" t="n">
        <x:v>0.9705882352941176</x:v>
      </x:c>
      <x:c r="AK62" s="45" t="n">
        <x:v>0.4842592592592592</x:v>
      </x:c>
      <x:c r="AL62" s="45" t="n">
        <x:v>0.5248184458968773</x:v>
      </x:c>
      <x:c r="AM62" s="44" t="n">
        <x:v>0.5450980392156863</x:v>
      </x:c>
    </x:row>
    <x:row r="63" ht="15" hidden="0" customHeight="1">
      <x:c r="A63" s="44" t="str">
        <x:v>139-013</x:v>
      </x:c>
      <x:c r="B63" s="44" t="str">
        <x:v>Mohra Moradu stupa and monastery</x:v>
      </x:c>
      <x:c r="C63" s="44" t="n">
        <x:v>250</x:v>
      </x:c>
      <x:c r="D63" s="44" t="str">
        <x:v>E2019</x:v>
      </x:c>
      <x:c r="E63" s="44" t="n">
        <x:v>2019</x:v>
      </x:c>
      <x:c r="F63" s="44" t="n">
        <x:v>222</x:v>
      </x:c>
      <x:c r="G63" s="45" t="n">
        <x:v>0.4021712839603424</x:v>
      </x:c>
      <x:c r="H63" s="44" t="n">
        <x:v>0.3057360053062439</x:v>
      </x:c>
      <x:c r="I63" s="44" t="n">
        <x:v>0.6927570700645447</x:v>
      </x:c>
      <x:c r="J63" s="45" t="n">
        <x:v>-0.0697094202041626</x:v>
      </x:c>
      <x:c r="K63" s="44" t="n">
        <x:v>-0.3496881127357483</x:v>
      </x:c>
      <x:c r="L63" s="44" t="n">
        <x:v>0.05168483406305313</x:v>
      </x:c>
      <x:c r="M63" s="45" t="n">
        <x:v>-0.39106565713882446</x:v>
      </x:c>
      <x:c r="N63" s="44" t="n">
        <x:v>-0.4366615414619446</x:v>
      </x:c>
      <x:c r="O63" s="44" t="n">
        <x:v>-0.2956456243991852</x:v>
      </x:c>
      <x:c r="P63" s="45" t="n">
        <x:v>0.014553552493453026</x:v>
      </x:c>
      <x:c r="Q63" s="44" t="n">
        <x:v>-0.2672812342643738</x:v>
      </x:c>
      <x:c r="R63" s="44" t="n">
        <x:v>0.11284654587507248</x:v>
      </x:c>
      <x:c r="S63" s="44" t="n">
        <x:v>222</x:v>
      </x:c>
      <x:c r="T63" s="44" t="n">
        <x:v>0.12162162162162163</x:v>
      </x:c>
      <x:c r="U63" s="44" t="n">
        <x:v>0.0045045045045045045</x:v>
      </x:c>
      <x:c r="V63" s="44" t="n">
        <x:v>0.18018018018018017</x:v>
      </x:c>
      <x:c r="W63" s="44" t="n">
        <x:v>0.3333333333333333</x:v>
      </x:c>
      <x:c r="X63" s="44" t="n">
        <x:v>0.36036036036036034</x:v>
      </x:c>
      <x:c r="Y63" s="44" t="n">
        <x:v>0</x:v>
      </x:c>
      <x:c r="Z63" s="44" t="n">
        <x:v>0.5941176470588235</x:v>
      </x:c>
      <x:c r="AA63" s="45" t="n">
        <x:v>0.03529411764705882</x:v>
      </x:c>
      <x:c r="AB63" s="45" t="n">
        <x:v>0.37058823529411766</x:v>
      </x:c>
      <x:c r="AC63" s="45" t="n">
        <x:v>0.6882352941176471</x:v>
      </x:c>
      <x:c r="AD63" s="44" t="n">
        <x:v>0.6529411764705882</x:v>
      </x:c>
      <x:c r="AE63" s="44" t="n">
        <x:v>0.4823529411764706</x:v>
      </x:c>
      <x:c r="AF63" s="45" t="n">
        <x:v>0.25882352941176473</x:v>
      </x:c>
      <x:c r="AG63" s="45" t="n">
        <x:v>0.6372549019607843</x:v>
      </x:c>
      <x:c r="AH63" s="44" t="n">
        <x:v>0.9117647058823529</x:v>
      </x:c>
      <x:c r="AI63" s="44" t="n">
        <x:v>0.029411764705882353</x:v>
      </x:c>
      <x:c r="AJ63" s="45" t="n">
        <x:v>0.9705882352941176</x:v>
      </x:c>
      <x:c r="AK63" s="45" t="n">
        <x:v>0.3138888888888889</x:v>
      </x:c>
      <x:c r="AL63" s="45" t="n">
        <x:v>0.40332244008714596</x:v>
      </x:c>
      <x:c r="AM63" s="44" t="n">
        <x:v>0.4480392156862745</x:v>
      </x:c>
    </x:row>
    <x:row r="64" ht="15" hidden="0" customHeight="1">
      <x:c r="A64" s="44" t="str">
        <x:v>139-013</x:v>
      </x:c>
      <x:c r="B64" s="44" t="str">
        <x:v>Mohra Moradu stupa and monastery</x:v>
      </x:c>
      <x:c r="C64" s="44" t="n">
        <x:v>250</x:v>
      </x:c>
      <x:c r="D64" s="44" t="str">
        <x:v>E2024</x:v>
      </x:c>
      <x:c r="E64" s="44" t="n">
        <x:v>2024</x:v>
      </x:c>
      <x:c r="F64" s="44" t="n">
        <x:v>222</x:v>
      </x:c>
      <x:c r="G64" s="45" t="n">
        <x:v>0.5445899963378906</x:v>
      </x:c>
      <x:c r="H64" s="44" t="n">
        <x:v>0.4236157238483429</x:v>
      </x:c>
      <x:c r="I64" s="44" t="n">
        <x:v>0.762449324131012</x:v>
      </x:c>
      <x:c r="J64" s="45" t="n">
        <x:v>-0.15148817002773285</x:v>
      </x:c>
      <x:c r="K64" s="44" t="n">
        <x:v>-0.3703356087207794</x:v>
      </x:c>
      <x:c r="L64" s="44" t="n">
        <x:v>-0.02360004372894764</x:v>
      </x:c>
      <x:c r="M64" s="45" t="n">
        <x:v>-0.42186206579208374</x:v>
      </x:c>
      <x:c r="N64" s="44" t="n">
        <x:v>-0.46467679738998413</x:v>
      </x:c>
      <x:c r="O64" s="44" t="n">
        <x:v>-0.3731691241264343</x:v>
      </x:c>
      <x:c r="P64" s="45" t="n">
        <x:v>-0.06665625423192978</x:v>
      </x:c>
      <x:c r="Q64" s="44" t="n">
        <x:v>-0.29317548871040344</x:v>
      </x:c>
      <x:c r="R64" s="44" t="n">
        <x:v>0.047556404024362564</x:v>
      </x:c>
      <x:c r="S64" s="44" t="n">
        <x:v>222</x:v>
      </x:c>
      <x:c r="T64" s="44" t="n">
        <x:v>0.018018018018018018</x:v>
      </x:c>
      <x:c r="U64" s="44" t="n">
        <x:v>0</x:v>
      </x:c>
      <x:c r="V64" s="44" t="n">
        <x:v>0.14864864864864866</x:v>
      </x:c>
      <x:c r="W64" s="44" t="n">
        <x:v>0.5540540540540541</x:v>
      </x:c>
      <x:c r="X64" s="44" t="n">
        <x:v>0.27927927927927926</x:v>
      </x:c>
      <x:c r="Y64" s="44" t="n">
        <x:v>0</x:v>
      </x:c>
      <x:c r="Z64" s="44" t="n">
        <x:v>0.1</x:v>
      </x:c>
      <x:c r="AA64" s="45" t="n">
        <x:v>0.4764705882352941</x:v>
      </x:c>
      <x:c r="AB64" s="45" t="n">
        <x:v>0.11176470588235295</x:v>
      </x:c>
      <x:c r="AC64" s="45" t="n">
        <x:v>0.37058823529411766</x:v>
      </x:c>
      <x:c r="AD64" s="44" t="n">
        <x:v>0.3235294117647059</x:v>
      </x:c>
      <x:c r="AE64" s="44" t="n">
        <x:v>0.10588235294117648</x:v>
      </x:c>
      <x:c r="AF64" s="45" t="n">
        <x:v>0.29117647058823526</x:v>
      </x:c>
      <x:c r="AG64" s="45" t="n">
        <x:v>0.6372549019607843</x:v>
      </x:c>
      <x:c r="AH64" s="44" t="n">
        <x:v>0.9117647058823529</x:v>
      </x:c>
      <x:c r="AI64" s="44" t="n">
        <x:v>0.029411764705882353</x:v>
      </x:c>
      <x:c r="AJ64" s="45" t="n">
        <x:v>0.9705882352941176</x:v>
      </x:c>
      <x:c r="AK64" s="45" t="n">
        <x:v>0.5259259259259259</x:v>
      </x:c>
      <x:c r="AL64" s="45" t="n">
        <x:v>0.4847857661583152</x:v>
      </x:c>
      <x:c r="AM64" s="44" t="n">
        <x:v>0.46421568627450976</x:v>
      </x:c>
    </x:row>
    <x:row r="65" ht="15" hidden="0" customHeight="1">
      <x:c r="A65" s="44" t="str">
        <x:v>139-014</x:v>
      </x:c>
      <x:c r="B65" s="44" t="str">
        <x:v>Pippala stupa and monastery</x:v>
      </x:c>
      <x:c r="C65" s="44" t="n">
        <x:v>250</x:v>
      </x:c>
      <x:c r="D65" s="44" t="str">
        <x:v>E2004</x:v>
      </x:c>
      <x:c r="E65" s="44" t="n">
        <x:v>2004</x:v>
      </x:c>
      <x:c r="F65" s="44" t="n">
        <x:v>218</x:v>
      </x:c>
      <x:c r="G65" s="45" t="n">
        <x:v>0.4164581894874573</x:v>
      </x:c>
      <x:c r="H65" s="44" t="n">
        <x:v>0.321158230304718</x:v>
      </x:c>
      <x:c r="I65" s="44" t="n">
        <x:v>0.5188960433006287</x:v>
      </x:c>
      <x:c r="J65" s="45" t="n">
        <x:v>-0.052331745624542236</x:v>
      </x:c>
      <x:c r="K65" s="44" t="n">
        <x:v>-0.12871995568275452</x:v>
      </x:c>
      <x:c r="L65" s="44" t="n">
        <x:v>0.018847396597266197</x:v>
      </x:c>
      <x:c r="M65" s="45" t="n">
        <x:v>-0.42067283391952515</x:v>
      </x:c>
      <x:c r="N65" s="44" t="n">
        <x:v>-0.44567054510116577</x:v>
      </x:c>
      <x:c r="O65" s="44" t="n">
        <x:v>-0.3800201117992401</x:v>
      </x:c>
      <x:c r="P65" s="45" t="n">
        <x:v>0.02620171383023262</x:v>
      </x:c>
      <x:c r="Q65" s="44" t="n">
        <x:v>-0.043186210095882416</x:v>
      </x:c>
      <x:c r="R65" s="44" t="n">
        <x:v>0.09509836882352829</x:v>
      </x:c>
      <x:c r="S65" s="44" t="n">
        <x:v>218</x:v>
      </x:c>
      <x:c r="T65" s="44" t="n">
        <x:v>0.11467889908256881</x:v>
      </x:c>
      <x:c r="U65" s="44" t="n">
        <x:v>0</x:v>
      </x:c>
      <x:c r="V65" s="44" t="n">
        <x:v>0.6559633027522935</x:v>
      </x:c>
      <x:c r="W65" s="44" t="n">
        <x:v>0.13761467889908258</x:v>
      </x:c>
      <x:c r="X65" s="44" t="n">
        <x:v>0.09174311926605505</x:v>
      </x:c>
      <x:c r="Y65" s="44" t="n">
        <x:v>0</x:v>
      </x:c>
      <x:c r="Z65" s="44" t="n">
        <x:v>0.5117647058823529</x:v>
      </x:c>
      <x:c r="AA65" s="45" t="n">
        <x:v>0.4294117647058823</x:v>
      </x:c>
      <x:c r="AB65" s="45" t="n">
        <x:v>0.48823529411764705</x:v>
      </x:c>
      <x:c r="AC65" s="45" t="n">
        <x:v>0.6764705882352942</x:v>
      </x:c>
      <x:c r="AD65" s="44" t="n">
        <x:v>0.3235294117647059</x:v>
      </x:c>
      <x:c r="AE65" s="44" t="n">
        <x:v>0.5</x:v>
      </x:c>
      <x:c r="AF65" s="45" t="n">
        <x:v>0.4647058823529412</x:v>
      </x:c>
      <x:c r="AG65" s="45" t="n">
        <x:v>0.6372549019607844</x:v>
      </x:c>
      <x:c r="AH65" s="44" t="n">
        <x:v>0.6764705882352942</x:v>
      </x:c>
      <x:c r="AI65" s="44" t="n">
        <x:v>0.6176470588235294</x:v>
      </x:c>
      <x:c r="AJ65" s="45" t="n">
        <x:v>0.6176470588235294</x:v>
      </x:c>
      <x:c r="AK65" s="45" t="n">
        <x:v>0.5166666666666666</x:v>
      </x:c>
      <x:c r="AL65" s="45" t="n">
        <x:v>0.5395424836601307</x:v>
      </x:c>
      <x:c r="AM65" s="44" t="n">
        <x:v>0.5509803921568628</x:v>
      </x:c>
    </x:row>
    <x:row r="66" ht="15" hidden="0" customHeight="1">
      <x:c r="A66" s="44" t="str">
        <x:v>139-014</x:v>
      </x:c>
      <x:c r="B66" s="44" t="str">
        <x:v>Pippala stupa and monastery</x:v>
      </x:c>
      <x:c r="C66" s="44" t="n">
        <x:v>250</x:v>
      </x:c>
      <x:c r="D66" s="44" t="str">
        <x:v>E2009</x:v>
      </x:c>
      <x:c r="E66" s="44" t="n">
        <x:v>2009</x:v>
      </x:c>
      <x:c r="F66" s="44" t="n">
        <x:v>218</x:v>
      </x:c>
      <x:c r="G66" s="45" t="n">
        <x:v>0.4073912799358368</x:v>
      </x:c>
      <x:c r="H66" s="44" t="n">
        <x:v>0.3137357234954834</x:v>
      </x:c>
      <x:c r="I66" s="44" t="n">
        <x:v>0.507965087890625</x:v>
      </x:c>
      <x:c r="J66" s="45" t="n">
        <x:v>-0.05166229233145714</x:v>
      </x:c>
      <x:c r="K66" s="44" t="n">
        <x:v>-0.12755000591278076</x:v>
      </x:c>
      <x:c r="L66" s="44" t="n">
        <x:v>0.0197733324021101</x:v>
      </x:c>
      <x:c r="M66" s="45" t="n">
        <x:v>-0.4117926359176636</x:v>
      </x:c>
      <x:c r="N66" s="44" t="n">
        <x:v>-0.43726053833961487</x:v>
      </x:c>
      <x:c r="O66" s="44" t="n">
        <x:v>-0.3752637207508087</x:v>
      </x:c>
      <x:c r="P66" s="45" t="n">
        <x:v>0.027325492352247238</x:v>
      </x:c>
      <x:c r="Q66" s="44" t="n">
        <x:v>-0.04984141141176224</x:v>
      </x:c>
      <x:c r="R66" s="44" t="n">
        <x:v>0.08960118889808655</x:v>
      </x:c>
      <x:c r="S66" s="44" t="n">
        <x:v>218</x:v>
      </x:c>
      <x:c r="T66" s="44" t="n">
        <x:v>0.13302752293577982</x:v>
      </x:c>
      <x:c r="U66" s="44" t="n">
        <x:v>0</x:v>
      </x:c>
      <x:c r="V66" s="44" t="n">
        <x:v>0.7064220183486238</x:v>
      </x:c>
      <x:c r="W66" s="44" t="n">
        <x:v>0.0963302752293578</x:v>
      </x:c>
      <x:c r="X66" s="44" t="n">
        <x:v>0.06422018348623854</x:v>
      </x:c>
      <x:c r="Y66" s="44" t="n">
        <x:v>0</x:v>
      </x:c>
      <x:c r="Z66" s="44" t="n">
        <x:v>0.5705882352941176</x:v>
      </x:c>
      <x:c r="AA66" s="45" t="n">
        <x:v>0.28823529411764703</x:v>
      </x:c>
      <x:c r="AB66" s="45" t="n">
        <x:v>0.5</x:v>
      </x:c>
      <x:c r="AC66" s="45" t="n">
        <x:v>0.7235294117647059</x:v>
      </x:c>
      <x:c r="AD66" s="44" t="n">
        <x:v>0.3235294117647059</x:v>
      </x:c>
      <x:c r="AE66" s="44" t="n">
        <x:v>0.5352941176470588</x:v>
      </x:c>
      <x:c r="AF66" s="45" t="n">
        <x:v>0.4117647058823529</x:v>
      </x:c>
      <x:c r="AG66" s="45" t="n">
        <x:v>0.6372549019607844</x:v>
      </x:c>
      <x:c r="AH66" s="44" t="n">
        <x:v>0.6764705882352942</x:v>
      </x:c>
      <x:c r="AI66" s="44" t="n">
        <x:v>0.6176470588235294</x:v>
      </x:c>
      <x:c r="AJ66" s="45" t="n">
        <x:v>0.6176470588235294</x:v>
      </x:c>
      <x:c r="AK66" s="45" t="n">
        <x:v>0.462037037037037</x:v>
      </x:c>
      <x:c r="AL66" s="45" t="n">
        <x:v>0.5036855482933914</x:v>
      </x:c>
      <x:c r="AM66" s="44" t="n">
        <x:v>0.5245098039215687</x:v>
      </x:c>
    </x:row>
    <x:row r="67" ht="15" hidden="0" customHeight="1">
      <x:c r="A67" s="44" t="str">
        <x:v>139-014</x:v>
      </x:c>
      <x:c r="B67" s="44" t="str">
        <x:v>Pippala stupa and monastery</x:v>
      </x:c>
      <x:c r="C67" s="44" t="n">
        <x:v>250</x:v>
      </x:c>
      <x:c r="D67" s="44" t="str">
        <x:v>E2014</x:v>
      </x:c>
      <x:c r="E67" s="44" t="n">
        <x:v>2014</x:v>
      </x:c>
      <x:c r="F67" s="44" t="n">
        <x:v>218</x:v>
      </x:c>
      <x:c r="G67" s="45" t="n">
        <x:v>0.3966013491153717</x:v>
      </x:c>
      <x:c r="H67" s="44" t="n">
        <x:v>0.28972846269607544</x:v>
      </x:c>
      <x:c r="I67" s="44" t="n">
        <x:v>0.5696621537208557</x:v>
      </x:c>
      <x:c r="J67" s="45" t="n">
        <x:v>-0.03502173721790314</x:v>
      </x:c>
      <x:c r="K67" s="44" t="n">
        <x:v>-0.15285183489322662</x:v>
      </x:c>
      <x:c r="L67" s="44" t="n">
        <x:v>0.03564930334687233</x:v>
      </x:c>
      <x:c r="M67" s="45" t="n">
        <x:v>-0.4075166583061218</x:v>
      </x:c>
      <x:c r="N67" s="44" t="n">
        <x:v>-0.45233726501464844</x:v>
      </x:c>
      <x:c r="O67" s="44" t="n">
        <x:v>-0.3537794351577759</x:v>
      </x:c>
      <x:c r="P67" s="45" t="n">
        <x:v>0.04469618201255798</x:v>
      </x:c>
      <x:c r="Q67" s="44" t="n">
        <x:v>-0.0779753029346466</x:v>
      </x:c>
      <x:c r="R67" s="44" t="n">
        <x:v>0.10198131948709488</x:v>
      </x:c>
      <x:c r="S67" s="44" t="n">
        <x:v>218</x:v>
      </x:c>
      <x:c r="T67" s="44" t="n">
        <x:v>0.1559633027522936</x:v>
      </x:c>
      <x:c r="U67" s="44" t="n">
        <x:v>0.05045871559633028</x:v>
      </x:c>
      <x:c r="V67" s="44" t="n">
        <x:v>0.43577981651376146</x:v>
      </x:c>
      <x:c r="W67" s="44" t="n">
        <x:v>0.20642201834862386</x:v>
      </x:c>
      <x:c r="X67" s="44" t="n">
        <x:v>0.15137614678899083</x:v>
      </x:c>
      <x:c r="Y67" s="44" t="n">
        <x:v>0</x:v>
      </x:c>
      <x:c r="Z67" s="44" t="n">
        <x:v>0.6411764705882353</x:v>
      </x:c>
      <x:c r="AA67" s="45" t="n">
        <x:v>0.22941176470588234</x:v>
      </x:c>
      <x:c r="AB67" s="45" t="n">
        <x:v>0.6647058823529411</x:v>
      </x:c>
      <x:c r="AC67" s="45" t="n">
        <x:v>0.7588235294117647</x:v>
      </x:c>
      <x:c r="AD67" s="44" t="n">
        <x:v>0.8588235294117647</x:v>
      </x:c>
      <x:c r="AE67" s="44" t="n">
        <x:v>0.6529411764705882</x:v>
      </x:c>
      <x:c r="AF67" s="45" t="n">
        <x:v>0.4411764705882353</x:v>
      </x:c>
      <x:c r="AG67" s="45" t="n">
        <x:v>0.6372549019607844</x:v>
      </x:c>
      <x:c r="AH67" s="44" t="n">
        <x:v>0.6764705882352942</x:v>
      </x:c>
      <x:c r="AI67" s="44" t="n">
        <x:v>0.6176470588235294</x:v>
      </x:c>
      <x:c r="AJ67" s="45" t="n">
        <x:v>0.6176470588235294</x:v>
      </x:c>
      <x:c r="AK67" s="45" t="n">
        <x:v>0.4842592592592592</x:v>
      </x:c>
      <x:c r="AL67" s="45" t="n">
        <x:v>0.5208968772694264</x:v>
      </x:c>
      <x:c r="AM67" s="44" t="n">
        <x:v>0.5392156862745099</x:v>
      </x:c>
    </x:row>
    <x:row r="68" ht="15" hidden="0" customHeight="1">
      <x:c r="A68" s="44" t="str">
        <x:v>139-014</x:v>
      </x:c>
      <x:c r="B68" s="44" t="str">
        <x:v>Pippala stupa and monastery</x:v>
      </x:c>
      <x:c r="C68" s="44" t="n">
        <x:v>250</x:v>
      </x:c>
      <x:c r="D68" s="44" t="str">
        <x:v>E2019</x:v>
      </x:c>
      <x:c r="E68" s="44" t="n">
        <x:v>2019</x:v>
      </x:c>
      <x:c r="F68" s="44" t="n">
        <x:v>217</x:v>
      </x:c>
      <x:c r="G68" s="45" t="n">
        <x:v>0.409261018037796</x:v>
      </x:c>
      <x:c r="H68" s="44" t="n">
        <x:v>0.2724740505218506</x:v>
      </x:c>
      <x:c r="I68" s="44" t="n">
        <x:v>0.6118190884590149</x:v>
      </x:c>
      <x:c r="J68" s="45" t="n">
        <x:v>-0.056368280202150345</x:v>
      </x:c>
      <x:c r="K68" s="44" t="n">
        <x:v>-0.20454157888889313</x:v>
      </x:c>
      <x:c r="L68" s="44" t="n">
        <x:v>0.03193604201078415</x:v>
      </x:c>
      <x:c r="M68" s="45" t="n">
        <x:v>-0.3936152458190918</x:v>
      </x:c>
      <x:c r="N68" s="44" t="n">
        <x:v>-0.44420376420021057</x:v>
      </x:c>
      <x:c r="O68" s="44" t="n">
        <x:v>-0.3398062288761139</x:v>
      </x:c>
      <x:c r="P68" s="45" t="n">
        <x:v>0.027335433289408684</x:v>
      </x:c>
      <x:c r="Q68" s="44" t="n">
        <x:v>-0.1190837100148201</x:v>
      </x:c>
      <x:c r="R68" s="44" t="n">
        <x:v>0.10080321878194809</x:v>
      </x:c>
      <x:c r="S68" s="44" t="n">
        <x:v>217</x:v>
      </x:c>
      <x:c r="T68" s="44" t="n">
        <x:v>0.23963133640552994</x:v>
      </x:c>
      <x:c r="U68" s="44" t="n">
        <x:v>0.055299539170506916</x:v>
      </x:c>
      <x:c r="V68" s="44" t="n">
        <x:v>0.3548387096774194</x:v>
      </x:c>
      <x:c r="W68" s="44" t="n">
        <x:v>0.25806451612903225</x:v>
      </x:c>
      <x:c r="X68" s="44" t="n">
        <x:v>0.09216589861751152</x:v>
      </x:c>
      <x:c r="Y68" s="44" t="n">
        <x:v>0</x:v>
      </x:c>
      <x:c r="Z68" s="44" t="n">
        <x:v>0.5470588235294118</x:v>
      </x:c>
      <x:c r="AA68" s="45" t="n">
        <x:v>0.06470588235294118</x:v>
      </x:c>
      <x:c r="AB68" s="45" t="n">
        <x:v>0.4647058823529412</x:v>
      </x:c>
      <x:c r="AC68" s="45" t="n">
        <x:v>0.9352941176470588</x:v>
      </x:c>
      <x:c r="AD68" s="44" t="n">
        <x:v>0.8764705882352941</x:v>
      </x:c>
      <x:c r="AE68" s="44" t="n">
        <x:v>0.5058823529411764</x:v>
      </x:c>
      <x:c r="AF68" s="45" t="n">
        <x:v>0.2852941176470588</x:v>
      </x:c>
      <x:c r="AG68" s="45" t="n">
        <x:v>0.6372549019607844</x:v>
      </x:c>
      <x:c r="AH68" s="44" t="n">
        <x:v>0.6764705882352942</x:v>
      </x:c>
      <x:c r="AI68" s="44" t="n">
        <x:v>0.6176470588235294</x:v>
      </x:c>
      <x:c r="AJ68" s="45" t="n">
        <x:v>0.6176470588235294</x:v>
      </x:c>
      <x:c r="AK68" s="45" t="n">
        <x:v>0.3138888888888889</x:v>
      </x:c>
      <x:c r="AL68" s="45" t="n">
        <x:v>0.4121459694989107</x:v>
      </x:c>
      <x:c r="AM68" s="44" t="n">
        <x:v>0.4612745098039216</x:v>
      </x:c>
    </x:row>
    <x:row r="69" ht="15" hidden="0" customHeight="1">
      <x:c r="A69" s="44" t="str">
        <x:v>139-014</x:v>
      </x:c>
      <x:c r="B69" s="44" t="str">
        <x:v>Pippala stupa and monastery</x:v>
      </x:c>
      <x:c r="C69" s="44" t="n">
        <x:v>250</x:v>
      </x:c>
      <x:c r="D69" s="44" t="str">
        <x:v>E2024</x:v>
      </x:c>
      <x:c r="E69" s="44" t="n">
        <x:v>2024</x:v>
      </x:c>
      <x:c r="F69" s="44" t="n">
        <x:v>218</x:v>
      </x:c>
      <x:c r="G69" s="45" t="n">
        <x:v>0.4375935196876526</x:v>
      </x:c>
      <x:c r="H69" s="44" t="n">
        <x:v>0.32124194502830505</x:v>
      </x:c>
      <x:c r="I69" s="44" t="n">
        <x:v>0.5830733776092529</x:v>
      </x:c>
      <x:c r="J69" s="45" t="n">
        <x:v>-0.0683496743440628</x:v>
      </x:c>
      <x:c r="K69" s="44" t="n">
        <x:v>-0.16652150452136993</x:v>
      </x:c>
      <x:c r="L69" s="44" t="n">
        <x:v>0.0086361113935709</x:v>
      </x:c>
      <x:c r="M69" s="45" t="n">
        <x:v>-0.4083099365234375</x:v>
      </x:c>
      <x:c r="N69" s="44" t="n">
        <x:v>-0.4471314549446106</x:v>
      </x:c>
      <x:c r="O69" s="44" t="n">
        <x:v>-0.3585655391216278</x:v>
      </x:c>
      <x:c r="P69" s="45" t="n">
        <x:v>0.017017817124724388</x:v>
      </x:c>
      <x:c r="Q69" s="44" t="n">
        <x:v>-0.08181346207857132</x:v>
      </x:c>
      <x:c r="R69" s="44" t="n">
        <x:v>0.08467642217874527</x:v>
      </x:c>
      <x:c r="S69" s="44" t="n">
        <x:v>218</x:v>
      </x:c>
      <x:c r="T69" s="44" t="n">
        <x:v>0.1834862385321101</x:v>
      </x:c>
      <x:c r="U69" s="44" t="n">
        <x:v>0</x:v>
      </x:c>
      <x:c r="V69" s="44" t="n">
        <x:v>0.5091743119266054</x:v>
      </x:c>
      <x:c r="W69" s="44" t="n">
        <x:v>0.2018348623853211</x:v>
      </x:c>
      <x:c r="X69" s="44" t="n">
        <x:v>0.10550458715596331</x:v>
      </x:c>
      <x:c r="Y69" s="44" t="n">
        <x:v>0</x:v>
      </x:c>
      <x:c r="Z69" s="44" t="n">
        <x:v>0.45294117647058824</x:v>
      </x:c>
      <x:c r="AA69" s="45" t="n">
        <x:v>0.2647058823529412</x:v>
      </x:c>
      <x:c r="AB69" s="45" t="n">
        <x:v>0.38235294117647056</x:v>
      </x:c>
      <x:c r="AC69" s="45" t="n">
        <x:v>0.8647058823529412</x:v>
      </x:c>
      <x:c r="AD69" s="44" t="n">
        <x:v>0.3235294117647059</x:v>
      </x:c>
      <x:c r="AE69" s="44" t="n">
        <x:v>0.41764705882352937</x:v>
      </x:c>
      <x:c r="AF69" s="45" t="n">
        <x:v>0.3411764705882353</x:v>
      </x:c>
      <x:c r="AG69" s="45" t="n">
        <x:v>0.6372549019607844</x:v>
      </x:c>
      <x:c r="AH69" s="44" t="n">
        <x:v>0.6764705882352942</x:v>
      </x:c>
      <x:c r="AI69" s="44" t="n">
        <x:v>0.6176470588235294</x:v>
      </x:c>
      <x:c r="AJ69" s="45" t="n">
        <x:v>0.6176470588235294</x:v>
      </x:c>
      <x:c r="AK69" s="45" t="n">
        <x:v>0.5259259259259259</x:v>
      </x:c>
      <x:c r="AL69" s="45" t="n">
        <x:v>0.5014524328249819</x:v>
      </x:c>
      <x:c r="AM69" s="44" t="n">
        <x:v>0.48921568627450984</x:v>
      </x:c>
    </x:row>
    <x:row r="70" ht="15" hidden="0" customHeight="1">
      <x:c r="A70" s="44" t="str">
        <x:v>139-015</x:v>
      </x:c>
      <x:c r="B70" s="44" t="str">
        <x:v>Jaulian stupa and monastery</x:v>
      </x:c>
      <x:c r="C70" s="44" t="n">
        <x:v>250</x:v>
      </x:c>
      <x:c r="D70" s="44" t="str">
        <x:v>E2004</x:v>
      </x:c>
      <x:c r="E70" s="44" t="n">
        <x:v>2004</x:v>
      </x:c>
      <x:c r="F70" s="44" t="n">
        <x:v>220</x:v>
      </x:c>
      <x:c r="G70" s="45" t="n">
        <x:v>0.356581449508667</x:v>
      </x:c>
      <x:c r="H70" s="44" t="n">
        <x:v>0.29560258984565735</x:v>
      </x:c>
      <x:c r="I70" s="44" t="n">
        <x:v>0.43886640667915344</x:v>
      </x:c>
      <x:c r="J70" s="45" t="n">
        <x:v>-0.011765826493501663</x:v>
      </x:c>
      <x:c r="K70" s="44" t="n">
        <x:v>-0.1169217973947525</x:v>
      </x:c>
      <x:c r="L70" s="44" t="n">
        <x:v>0.04651118442416191</x:v>
      </x:c>
      <x:c r="M70" s="45" t="n">
        <x:v>-0.40927812457084656</x:v>
      </x:c>
      <x:c r="N70" s="44" t="n">
        <x:v>-0.4641141891479492</x:v>
      </x:c>
      <x:c r="O70" s="44" t="n">
        <x:v>-0.3353436291217804</x:v>
      </x:c>
      <x:c r="P70" s="45" t="n">
        <x:v>0.0655793696641922</x:v>
      </x:c>
      <x:c r="Q70" s="44" t="n">
        <x:v>-0.021842341870069504</x:v>
      </x:c>
      <x:c r="R70" s="44" t="n">
        <x:v>0.11260227859020233</x:v>
      </x:c>
      <x:c r="S70" s="44" t="n">
        <x:v>220</x:v>
      </x:c>
      <x:c r="T70" s="44" t="n">
        <x:v>0.17727272727272728</x:v>
      </x:c>
      <x:c r="U70" s="44" t="n">
        <x:v>0</x:v>
      </x:c>
      <x:c r="V70" s="44" t="n">
        <x:v>0.4636363636363636</x:v>
      </x:c>
      <x:c r="W70" s="44" t="n">
        <x:v>0.045454545454545456</x:v>
      </x:c>
      <x:c r="X70" s="44" t="n">
        <x:v>0.31363636363636366</x:v>
      </x:c>
      <x:c r="Y70" s="44" t="n">
        <x:v>0</x:v>
      </x:c>
      <x:c r="Z70" s="44" t="n">
        <x:v>0.9</x:v>
      </x:c>
      <x:c r="AA70" s="45" t="n">
        <x:v>0.27647058823529413</x:v>
      </x:c>
      <x:c r="AB70" s="45" t="n">
        <x:v>0.8411764705882353</x:v>
      </x:c>
      <x:c r="AC70" s="45" t="n">
        <x:v>0.8294117647058824</x:v>
      </x:c>
      <x:c r="AD70" s="44" t="n">
        <x:v>0.3235294117647059</x:v>
      </x:c>
      <x:c r="AE70" s="44" t="n">
        <x:v>0.8705882352941177</x:v>
      </x:c>
      <x:c r="AF70" s="45" t="n">
        <x:v>0.5735294117647058</x:v>
      </x:c>
      <x:c r="AG70" s="45" t="n">
        <x:v>0.8137254901960783</x:v>
      </x:c>
      <x:c r="AH70" s="44" t="n">
        <x:v>0.7941176470588235</x:v>
      </x:c>
      <x:c r="AI70" s="44" t="n">
        <x:v>0.8529411764705882</x:v>
      </x:c>
      <x:c r="AJ70" s="45" t="n">
        <x:v>0.7941176470588235</x:v>
      </x:c>
      <x:c r="AK70" s="45" t="n">
        <x:v>0.5166666666666666</x:v>
      </x:c>
      <x:c r="AL70" s="45" t="n">
        <x:v>0.634640522875817</x:v>
      </x:c>
      <x:c r="AM70" s="44" t="n">
        <x:v>0.6936274509803921</x:v>
      </x:c>
    </x:row>
    <x:row r="71" ht="15" hidden="0" customHeight="1">
      <x:c r="A71" s="44" t="str">
        <x:v>139-015</x:v>
      </x:c>
      <x:c r="B71" s="44" t="str">
        <x:v>Jaulian stupa and monastery</x:v>
      </x:c>
      <x:c r="C71" s="44" t="n">
        <x:v>250</x:v>
      </x:c>
      <x:c r="D71" s="44" t="str">
        <x:v>E2009</x:v>
      </x:c>
      <x:c r="E71" s="44" t="n">
        <x:v>2009</x:v>
      </x:c>
      <x:c r="F71" s="44" t="n">
        <x:v>220</x:v>
      </x:c>
      <x:c r="G71" s="45" t="n">
        <x:v>0.3581775426864624</x:v>
      </x:c>
      <x:c r="H71" s="44" t="n">
        <x:v>0.29841887950897217</x:v>
      </x:c>
      <x:c r="I71" s="44" t="n">
        <x:v>0.445622980594635</x:v>
      </x:c>
      <x:c r="J71" s="45" t="n">
        <x:v>-0.016687069088220596</x:v>
      </x:c>
      <x:c r="K71" s="44" t="n">
        <x:v>-0.10611008107662201</x:v>
      </x:c>
      <x:c r="L71" s="44" t="n">
        <x:v>0.06160343065857887</x:v>
      </x:c>
      <x:c r="M71" s="45" t="n">
        <x:v>-0.415324330329895</x:v>
      </x:c>
      <x:c r="N71" s="44" t="n">
        <x:v>-0.4652182161808014</x:v>
      </x:c>
      <x:c r="O71" s="44" t="n">
        <x:v>-0.36391565203666687</x:v>
      </x:c>
      <x:c r="P71" s="45" t="n">
        <x:v>0.05967389792203903</x:v>
      </x:c>
      <x:c r="Q71" s="44" t="n">
        <x:v>-0.027990931645035744</x:v>
      </x:c>
      <x:c r="R71" s="44" t="n">
        <x:v>0.12620869278907776</x:v>
      </x:c>
      <x:c r="S71" s="44" t="n">
        <x:v>220</x:v>
      </x:c>
      <x:c r="T71" s="44" t="n">
        <x:v>0.1409090909090909</x:v>
      </x:c>
      <x:c r="U71" s="44" t="n">
        <x:v>0</x:v>
      </x:c>
      <x:c r="V71" s="44" t="n">
        <x:v>0.5045454545454545</x:v>
      </x:c>
      <x:c r="W71" s="44" t="n">
        <x:v>0.031818181818181815</x:v>
      </x:c>
      <x:c r="X71" s="44" t="n">
        <x:v>0.32272727272727275</x:v>
      </x:c>
      <x:c r="Y71" s="44" t="n">
        <x:v>0</x:v>
      </x:c>
      <x:c r="Z71" s="44" t="n">
        <x:v>0.888235294117647</x:v>
      </x:c>
      <x:c r="AA71" s="45" t="n">
        <x:v>0.31176470588235294</x:v>
      </x:c>
      <x:c r="AB71" s="45" t="n">
        <x:v>0.8058823529411765</x:v>
      </x:c>
      <x:c r="AC71" s="45" t="n">
        <x:v>0.7470588235294118</x:v>
      </x:c>
      <x:c r="AD71" s="44" t="n">
        <x:v>0.3235294117647059</x:v>
      </x:c>
      <x:c r="AE71" s="44" t="n">
        <x:v>0.8470588235294118</x:v>
      </x:c>
      <x:c r="AF71" s="45" t="n">
        <x:v>0.5794117647058823</x:v>
      </x:c>
      <x:c r="AG71" s="45" t="n">
        <x:v>0.8137254901960783</x:v>
      </x:c>
      <x:c r="AH71" s="44" t="n">
        <x:v>0.7941176470588235</x:v>
      </x:c>
      <x:c r="AI71" s="44" t="n">
        <x:v>0.8529411764705882</x:v>
      </x:c>
      <x:c r="AJ71" s="45" t="n">
        <x:v>0.7941176470588235</x:v>
      </x:c>
      <x:c r="AK71" s="45" t="n">
        <x:v>0.462037037037037</x:v>
      </x:c>
      <x:c r="AL71" s="45" t="n">
        <x:v>0.6183914306463326</x:v>
      </x:c>
      <x:c r="AM71" s="44" t="n">
        <x:v>0.6965686274509804</x:v>
      </x:c>
    </x:row>
    <x:row r="72" ht="15" hidden="0" customHeight="1">
      <x:c r="A72" s="44" t="str">
        <x:v>139-015</x:v>
      </x:c>
      <x:c r="B72" s="44" t="str">
        <x:v>Jaulian stupa and monastery</x:v>
      </x:c>
      <x:c r="C72" s="44" t="n">
        <x:v>250</x:v>
      </x:c>
      <x:c r="D72" s="44" t="str">
        <x:v>E2014</x:v>
      </x:c>
      <x:c r="E72" s="44" t="n">
        <x:v>2014</x:v>
      </x:c>
      <x:c r="F72" s="44" t="n">
        <x:v>220</x:v>
      </x:c>
      <x:c r="G72" s="45" t="n">
        <x:v>0.38564616441726685</x:v>
      </x:c>
      <x:c r="H72" s="44" t="n">
        <x:v>0.3231068551540375</x:v>
      </x:c>
      <x:c r="I72" s="44" t="n">
        <x:v>0.48676761984825134</x:v>
      </x:c>
      <x:c r="J72" s="45" t="n">
        <x:v>-0.015710974112153053</x:v>
      </x:c>
      <x:c r="K72" s="44" t="n">
        <x:v>-0.1173187717795372</x:v>
      </x:c>
      <x:c r="L72" s="44" t="n">
        <x:v>0.05172635614871979</x:v>
      </x:c>
      <x:c r="M72" s="45" t="n">
        <x:v>-0.4157412350177765</x:v>
      </x:c>
      <x:c r="N72" s="44" t="n">
        <x:v>-0.4591987133026123</x:v>
      </x:c>
      <x:c r="O72" s="44" t="n">
        <x:v>-0.34638383984565735</x:v>
      </x:c>
      <x:c r="P72" s="45" t="n">
        <x:v>0.05763369798660278</x:v>
      </x:c>
      <x:c r="Q72" s="44" t="n">
        <x:v>-0.03311450406908989</x:v>
      </x:c>
      <x:c r="R72" s="44" t="n">
        <x:v>0.11193516850471497</x:v>
      </x:c>
      <x:c r="S72" s="44" t="n">
        <x:v>220</x:v>
      </x:c>
      <x:c r="T72" s="44" t="n">
        <x:v>0.1</x:v>
      </x:c>
      <x:c r="U72" s="44" t="n">
        <x:v>0</x:v>
      </x:c>
      <x:c r="V72" s="44" t="n">
        <x:v>0.33636363636363636</x:v>
      </x:c>
      <x:c r="W72" s="44" t="n">
        <x:v>0.07727272727272727</x:v>
      </x:c>
      <x:c r="X72" s="44" t="n">
        <x:v>0.4863636363636364</x:v>
      </x:c>
      <x:c r="Y72" s="44" t="n">
        <x:v>0</x:v>
      </x:c>
      <x:c r="Z72" s="44" t="n">
        <x:v>0.6882352941176471</x:v>
      </x:c>
      <x:c r="AA72" s="45" t="n">
        <x:v>0.3235294117647059</x:v>
      </x:c>
      <x:c r="AB72" s="45" t="n">
        <x:v>0.8176470588235294</x:v>
      </x:c>
      <x:c r="AC72" s="45" t="n">
        <x:v>0.6176470588235294</x:v>
      </x:c>
      <x:c r="AD72" s="44" t="n">
        <x:v>0.3235294117647059</x:v>
      </x:c>
      <x:c r="AE72" s="44" t="n">
        <x:v>0.7529411764705882</x:v>
      </x:c>
      <x:c r="AF72" s="45" t="n">
        <x:v>0.538235294117647</x:v>
      </x:c>
      <x:c r="AG72" s="45" t="n">
        <x:v>0.8137254901960783</x:v>
      </x:c>
      <x:c r="AH72" s="44" t="n">
        <x:v>0.7941176470588235</x:v>
      </x:c>
      <x:c r="AI72" s="44" t="n">
        <x:v>0.8529411764705882</x:v>
      </x:c>
      <x:c r="AJ72" s="45" t="n">
        <x:v>0.7941176470588235</x:v>
      </x:c>
      <x:c r="AK72" s="45" t="n">
        <x:v>0.4842592592592592</x:v>
      </x:c>
      <x:c r="AL72" s="45" t="n">
        <x:v>0.6120733478576615</x:v>
      </x:c>
      <x:c r="AM72" s="44" t="n">
        <x:v>0.6759803921568627</x:v>
      </x:c>
    </x:row>
    <x:row r="73" ht="15" hidden="0" customHeight="1">
      <x:c r="A73" s="44" t="str">
        <x:v>139-015</x:v>
      </x:c>
      <x:c r="B73" s="44" t="str">
        <x:v>Jaulian stupa and monastery</x:v>
      </x:c>
      <x:c r="C73" s="44" t="n">
        <x:v>250</x:v>
      </x:c>
      <x:c r="D73" s="44" t="str">
        <x:v>E2019</x:v>
      </x:c>
      <x:c r="E73" s="44" t="n">
        <x:v>2019</x:v>
      </x:c>
      <x:c r="F73" s="44" t="n">
        <x:v>220</x:v>
      </x:c>
      <x:c r="G73" s="45" t="n">
        <x:v>0.4730490446090698</x:v>
      </x:c>
      <x:c r="H73" s="44" t="n">
        <x:v>0.37066128849983215</x:v>
      </x:c>
      <x:c r="I73" s="44" t="n">
        <x:v>0.5882266163825989</x:v>
      </x:c>
      <x:c r="J73" s="45" t="n">
        <x:v>-0.11167709529399872</x:v>
      </x:c>
      <x:c r="K73" s="44" t="n">
        <x:v>-0.19852404296398163</x:v>
      </x:c>
      <x:c r="L73" s="44" t="n">
        <x:v>-0.03085649013519287</x:v>
      </x:c>
      <x:c r="M73" s="45" t="n">
        <x:v>-0.4179488718509674</x:v>
      </x:c>
      <x:c r="N73" s="44" t="n">
        <x:v>-0.4823857545852661</x:v>
      </x:c>
      <x:c r="O73" s="44" t="n">
        <x:v>-0.3468859791755676</x:v>
      </x:c>
      <x:c r="P73" s="45" t="n">
        <x:v>-0.025143129751086235</x:v>
      </x:c>
      <x:c r="Q73" s="44" t="n">
        <x:v>-0.10551117360591888</x:v>
      </x:c>
      <x:c r="R73" s="44" t="n">
        <x:v>0.04951920732855797</x:v>
      </x:c>
      <x:c r="S73" s="44" t="n">
        <x:v>220</x:v>
      </x:c>
      <x:c r="T73" s="44" t="n">
        <x:v>0.1</x:v>
      </x:c>
      <x:c r="U73" s="44" t="n">
        <x:v>0</x:v>
      </x:c>
      <x:c r="V73" s="44" t="n">
        <x:v>0.17272727272727273</x:v>
      </x:c>
      <x:c r="W73" s="44" t="n">
        <x:v>0.30454545454545456</x:v>
      </x:c>
      <x:c r="X73" s="44" t="n">
        <x:v>0.42272727272727273</x:v>
      </x:c>
      <x:c r="Y73" s="44" t="n">
        <x:v>0</x:v>
      </x:c>
      <x:c r="Z73" s="44" t="n">
        <x:v>0.27647058823529413</x:v>
      </x:c>
      <x:c r="AA73" s="45" t="n">
        <x:v>0.3588235294117647</x:v>
      </x:c>
      <x:c r="AB73" s="45" t="n">
        <x:v>0.22941176470588234</x:v>
      </x:c>
      <x:c r="AC73" s="45" t="n">
        <x:v>0.6176470588235294</x:v>
      </x:c>
      <x:c r="AD73" s="44" t="n">
        <x:v>0.3235294117647059</x:v>
      </x:c>
      <x:c r="AE73" s="44" t="n">
        <x:v>0.2529411764705882</x:v>
      </x:c>
      <x:c r="AF73" s="45" t="n">
        <x:v>0.3058823529411765</x:v>
      </x:c>
      <x:c r="AG73" s="45" t="n">
        <x:v>0.8137254901960783</x:v>
      </x:c>
      <x:c r="AH73" s="44" t="n">
        <x:v>0.7941176470588235</x:v>
      </x:c>
      <x:c r="AI73" s="44" t="n">
        <x:v>0.8529411764705882</x:v>
      </x:c>
      <x:c r="AJ73" s="45" t="n">
        <x:v>0.7941176470588235</x:v>
      </x:c>
      <x:c r="AK73" s="45" t="n">
        <x:v>0.3138888888888889</x:v>
      </x:c>
      <x:c r="AL73" s="45" t="n">
        <x:v>0.4778322440087146</x:v>
      </x:c>
      <x:c r="AM73" s="44" t="n">
        <x:v>0.5598039215686275</x:v>
      </x:c>
    </x:row>
    <x:row r="74" ht="15" hidden="0" customHeight="1">
      <x:c r="A74" s="44" t="str">
        <x:v>139-015</x:v>
      </x:c>
      <x:c r="B74" s="44" t="str">
        <x:v>Jaulian stupa and monastery</x:v>
      </x:c>
      <x:c r="C74" s="44" t="n">
        <x:v>250</x:v>
      </x:c>
      <x:c r="D74" s="44" t="str">
        <x:v>E2024</x:v>
      </x:c>
      <x:c r="E74" s="44" t="n">
        <x:v>2024</x:v>
      </x:c>
      <x:c r="F74" s="44" t="n">
        <x:v>220</x:v>
      </x:c>
      <x:c r="G74" s="45" t="n">
        <x:v>0.5989766716957092</x:v>
      </x:c>
      <x:c r="H74" s="44" t="n">
        <x:v>0.44629591703414917</x:v>
      </x:c>
      <x:c r="I74" s="44" t="n">
        <x:v>0.6902639865875244</x:v>
      </x:c>
      <x:c r="J74" s="45" t="n">
        <x:v>-0.19252507388591766</x:v>
      </x:c>
      <x:c r="K74" s="44" t="n">
        <x:v>-0.27562323212623596</x:v>
      </x:c>
      <x:c r="L74" s="44" t="n">
        <x:v>-0.07558091729879379</x:v>
      </x:c>
      <x:c r="M74" s="45" t="n">
        <x:v>-0.4283483922481537</x:v>
      </x:c>
      <x:c r="N74" s="44" t="n">
        <x:v>-0.4720863997936249</x:v>
      </x:c>
      <x:c r="O74" s="44" t="n">
        <x:v>-0.3757564425468445</x:v>
      </x:c>
      <x:c r="P74" s="45" t="n">
        <x:v>-0.10588210821151733</x:v>
      </x:c>
      <x:c r="Q74" s="44" t="n">
        <x:v>-0.19130083918571472</x:v>
      </x:c>
      <x:c r="R74" s="44" t="n">
        <x:v>0.00048505276208743453</x:v>
      </x:c>
      <x:c r="S74" s="44" t="n">
        <x:v>220</x:v>
      </x:c>
      <x:c r="T74" s="44" t="n">
        <x:v>0.05</x:v>
      </x:c>
      <x:c r="U74" s="44" t="n">
        <x:v>0</x:v>
      </x:c>
      <x:c r="V74" s="44" t="n">
        <x:v>0.12727272727272726</x:v>
      </x:c>
      <x:c r="W74" s="44" t="n">
        <x:v>0.759090909090909</x:v>
      </x:c>
      <x:c r="X74" s="44" t="n">
        <x:v>0.06363636363636363</x:v>
      </x:c>
      <x:c r="Y74" s="44" t="n">
        <x:v>0</x:v>
      </x:c>
      <x:c r="Z74" s="44" t="n">
        <x:v>0.052941176470588235</x:v>
      </x:c>
      <x:c r="AA74" s="45" t="n">
        <x:v>0.6058823529411764</x:v>
      </x:c>
      <x:c r="AB74" s="45" t="n">
        <x:v>0.01764705882352941</x:v>
      </x:c>
      <x:c r="AC74" s="45" t="n">
        <x:v>0.4764705882352941</x:v>
      </x:c>
      <x:c r="AD74" s="44" t="n">
        <x:v>0.3235294117647059</x:v>
      </x:c>
      <x:c r="AE74" s="44" t="n">
        <x:v>0.03529411764705882</x:v>
      </x:c>
      <x:c r="AF74" s="45" t="n">
        <x:v>0.3205882352941176</x:v>
      </x:c>
      <x:c r="AG74" s="45" t="n">
        <x:v>0.8137254901960783</x:v>
      </x:c>
      <x:c r="AH74" s="44" t="n">
        <x:v>0.7941176470588235</x:v>
      </x:c>
      <x:c r="AI74" s="44" t="n">
        <x:v>0.8529411764705882</x:v>
      </x:c>
      <x:c r="AJ74" s="45" t="n">
        <x:v>0.7941176470588235</x:v>
      </x:c>
      <x:c r="AK74" s="45" t="n">
        <x:v>0.5259259259259259</x:v>
      </x:c>
      <x:c r="AL74" s="45" t="n">
        <x:v>0.5534132171387073</x:v>
      </x:c>
      <x:c r="AM74" s="44" t="n">
        <x:v>0.567156862745098</x:v>
      </x:c>
    </x:row>
    <x:row r="75" ht="15" hidden="0" customHeight="1">
      <x:c r="A75" s="44" t="str">
        <x:v>139-016</x:v>
      </x:c>
      <x:c r="B75" s="44" t="str">
        <x:v>Lalchak mounds</x:v>
      </x:c>
      <x:c r="C75" s="44" t="n">
        <x:v>250</x:v>
      </x:c>
      <x:c r="D75" s="44" t="str">
        <x:v>E2004</x:v>
      </x:c>
      <x:c r="E75" s="44" t="n">
        <x:v>2004</x:v>
      </x:c>
      <x:c r="F75" s="44" t="n">
        <x:v>217</x:v>
      </x:c>
      <x:c r="G75" s="45" t="n">
        <x:v>0.4492645263671875</x:v>
      </x:c>
      <x:c r="H75" s="44" t="n">
        <x:v>0.34894075989723206</x:v>
      </x:c>
      <x:c r="I75" s="44" t="n">
        <x:v>0.49842312932014465</x:v>
      </x:c>
      <x:c r="J75" s="45" t="n">
        <x:v>-0.07957044243812561</x:v>
      </x:c>
      <x:c r="K75" s="44" t="n">
        <x:v>-0.13517031073570251</x:v>
      </x:c>
      <x:c r="L75" s="44" t="n">
        <x:v>0.004650616552680731</x:v>
      </x:c>
      <x:c r="M75" s="45" t="n">
        <x:v>-0.42313727736473083</x:v>
      </x:c>
      <x:c r="N75" s="44" t="n">
        <x:v>-0.44253331422805786</x:v>
      </x:c>
      <x:c r="O75" s="44" t="n">
        <x:v>-0.4076228141784668</x:v>
      </x:c>
      <x:c r="P75" s="45" t="n">
        <x:v>0.0038114902563393116</x:v>
      </x:c>
      <x:c r="Q75" s="44" t="n">
        <x:v>-0.04437757655978203</x:v>
      </x:c>
      <x:c r="R75" s="44" t="n">
        <x:v>0.079694963991642</x:v>
      </x:c>
      <x:c r="S75" s="44" t="n">
        <x:v>217</x:v>
      </x:c>
      <x:c r="T75" s="44" t="n">
        <x:v>0</x:v>
      </x:c>
      <x:c r="U75" s="44" t="n">
        <x:v>0</x:v>
      </x:c>
      <x:c r="V75" s="44" t="n">
        <x:v>0.5806451612903226</x:v>
      </x:c>
      <x:c r="W75" s="44" t="n">
        <x:v>0.07834101382488479</x:v>
      </x:c>
      <x:c r="X75" s="44" t="n">
        <x:v>0.34101382488479265</x:v>
      </x:c>
      <x:c r="Y75" s="44" t="n">
        <x:v>0</x:v>
      </x:c>
      <x:c r="Z75" s="44" t="n">
        <x:v>0.3941176470588235</x:v>
      </x:c>
      <x:c r="AA75" s="45" t="n">
        <x:v>0.5</x:v>
      </x:c>
      <x:c r="AB75" s="45" t="n">
        <x:v>0.3352941176470588</x:v>
      </x:c>
      <x:c r="AC75" s="45" t="n">
        <x:v>0.12352941176470589</x:v>
      </x:c>
      <x:c r="AD75" s="44" t="n">
        <x:v>0.3235294117647059</x:v>
      </x:c>
      <x:c r="AE75" s="44" t="n">
        <x:v>0.36470588235294116</x:v>
      </x:c>
      <x:c r="AF75" s="45" t="n">
        <x:v>0.4323529411764706</x:v>
      </x:c>
      <x:c r="AG75" s="45" t="n">
        <x:v>0.3725490196078431</x:v>
      </x:c>
      <x:c r="AH75" s="44" t="n">
        <x:v>0.14705882352941177</x:v>
      </x:c>
      <x:c r="AI75" s="44" t="n">
        <x:v>0.9411764705882353</x:v>
      </x:c>
      <x:c r="AJ75" s="45" t="n">
        <x:v>0.029411764705882353</x:v>
      </x:c>
      <x:c r="AK75" s="45" t="n">
        <x:v>0.5166666666666666</x:v>
      </x:c>
      <x:c r="AL75" s="45" t="n">
        <x:v>0.44052287581699345</x:v>
      </x:c>
      <x:c r="AM75" s="44" t="n">
        <x:v>0.4024509803921569</x:v>
      </x:c>
    </x:row>
    <x:row r="76" ht="15" hidden="0" customHeight="1">
      <x:c r="A76" s="44" t="str">
        <x:v>139-016</x:v>
      </x:c>
      <x:c r="B76" s="44" t="str">
        <x:v>Lalchak mounds</x:v>
      </x:c>
      <x:c r="C76" s="44" t="n">
        <x:v>250</x:v>
      </x:c>
      <x:c r="D76" s="44" t="str">
        <x:v>E2009</x:v>
      </x:c>
      <x:c r="E76" s="44" t="n">
        <x:v>2009</x:v>
      </x:c>
      <x:c r="F76" s="44" t="n">
        <x:v>217</x:v>
      </x:c>
      <x:c r="G76" s="45" t="n">
        <x:v>0.437905877828598</x:v>
      </x:c>
      <x:c r="H76" s="44" t="n">
        <x:v>0.3457428216934204</x:v>
      </x:c>
      <x:c r="I76" s="44" t="n">
        <x:v>0.5228856801986694</x:v>
      </x:c>
      <x:c r="J76" s="45" t="n">
        <x:v>-0.0819140076637268</x:v>
      </x:c>
      <x:c r="K76" s="44" t="n">
        <x:v>-0.1375647336244583</x:v>
      </x:c>
      <x:c r="L76" s="44" t="n">
        <x:v>0.00029786324012093246</x:v>
      </x:c>
      <x:c r="M76" s="45" t="n">
        <x:v>-0.42129477858543396</x:v>
      </x:c>
      <x:c r="N76" s="44" t="n">
        <x:v>-0.43859121203422546</x:v>
      </x:c>
      <x:c r="O76" s="44" t="n">
        <x:v>-0.39536094665527344</x:v>
      </x:c>
      <x:c r="P76" s="45" t="n">
        <x:v>0.002798222005367279</x:v>
      </x:c>
      <x:c r="Q76" s="44" t="n">
        <x:v>-0.058151084929704666</x:v>
      </x:c>
      <x:c r="R76" s="44" t="n">
        <x:v>0.07964622229337692</x:v>
      </x:c>
      <x:c r="S76" s="44" t="n">
        <x:v>217</x:v>
      </x:c>
      <x:c r="T76" s="44" t="n">
        <x:v>0.013824884792626729</x:v>
      </x:c>
      <x:c r="U76" s="44" t="n">
        <x:v>0</x:v>
      </x:c>
      <x:c r="V76" s="44" t="n">
        <x:v>0.7511520737327189</x:v>
      </x:c>
      <x:c r="W76" s="44" t="n">
        <x:v>0.15668202764976957</x:v>
      </x:c>
      <x:c r="X76" s="44" t="n">
        <x:v>0.07834101382488479</x:v>
      </x:c>
      <x:c r="Y76" s="44" t="n">
        <x:v>0</x:v>
      </x:c>
      <x:c r="Z76" s="44" t="n">
        <x:v>0.4411764705882353</x:v>
      </x:c>
      <x:c r="AA76" s="45" t="n">
        <x:v>0.4647058823529412</x:v>
      </x:c>
      <x:c r="AB76" s="45" t="n">
        <x:v>0.31176470588235294</x:v>
      </x:c>
      <x:c r="AC76" s="45" t="n">
        <x:v>0.3588235294117647</x:v>
      </x:c>
      <x:c r="AD76" s="44" t="n">
        <x:v>0.3235294117647059</x:v>
      </x:c>
      <x:c r="AE76" s="44" t="n">
        <x:v>0.3764705882352941</x:v>
      </x:c>
      <x:c r="AF76" s="45" t="n">
        <x:v>0.42058823529411765</x:v>
      </x:c>
      <x:c r="AG76" s="45" t="n">
        <x:v>0.3725490196078431</x:v>
      </x:c>
      <x:c r="AH76" s="44" t="n">
        <x:v>0.14705882352941177</x:v>
      </x:c>
      <x:c r="AI76" s="44" t="n">
        <x:v>0.9411764705882353</x:v>
      </x:c>
      <x:c r="AJ76" s="45" t="n">
        <x:v>0.029411764705882353</x:v>
      </x:c>
      <x:c r="AK76" s="45" t="n">
        <x:v>0.462037037037037</x:v>
      </x:c>
      <x:c r="AL76" s="45" t="n">
        <x:v>0.41839143064633255</x:v>
      </x:c>
      <x:c r="AM76" s="44" t="n">
        <x:v>0.39656862745098037</x:v>
      </x:c>
    </x:row>
    <x:row r="77" ht="15" hidden="0" customHeight="1">
      <x:c r="A77" s="44" t="str">
        <x:v>139-016</x:v>
      </x:c>
      <x:c r="B77" s="44" t="str">
        <x:v>Lalchak mounds</x:v>
      </x:c>
      <x:c r="C77" s="44" t="n">
        <x:v>250</x:v>
      </x:c>
      <x:c r="D77" s="44" t="str">
        <x:v>E2014</x:v>
      </x:c>
      <x:c r="E77" s="44" t="n">
        <x:v>2014</x:v>
      </x:c>
      <x:c r="F77" s="44" t="n">
        <x:v>217</x:v>
      </x:c>
      <x:c r="G77" s="45" t="n">
        <x:v>0.592842161655426</x:v>
      </x:c>
      <x:c r="H77" s="44" t="n">
        <x:v>0.48230797052383423</x:v>
      </x:c>
      <x:c r="I77" s="44" t="n">
        <x:v>0.7064841985702515</x:v>
      </x:c>
      <x:c r="J77" s="45" t="n">
        <x:v>-0.17968717217445374</x:v>
      </x:c>
      <x:c r="K77" s="44" t="n">
        <x:v>-0.2950366139411926</x:v>
      </x:c>
      <x:c r="L77" s="44" t="n">
        <x:v>-0.08448576927185059</x:v>
      </x:c>
      <x:c r="M77" s="45" t="n">
        <x:v>-0.433415949344635</x:v>
      </x:c>
      <x:c r="N77" s="44" t="n">
        <x:v>-0.45996594429016113</x:v>
      </x:c>
      <x:c r="O77" s="44" t="n">
        <x:v>-0.4080389142036438</x:v>
      </x:c>
      <x:c r="P77" s="45" t="n">
        <x:v>-0.09393453598022461</x:v>
      </x:c>
      <x:c r="Q77" s="44" t="n">
        <x:v>-0.212214857339859</x:v>
      </x:c>
      <x:c r="R77" s="44" t="n">
        <x:v>-0.005097610875964165</x:v>
      </x:c>
      <x:c r="S77" s="44" t="n">
        <x:v>217</x:v>
      </x:c>
      <x:c r="T77" s="44" t="n">
        <x:v>0.004608294930875576</x:v>
      </x:c>
      <x:c r="U77" s="44" t="n">
        <x:v>0</x:v>
      </x:c>
      <x:c r="V77" s="44" t="n">
        <x:v>0.0967741935483871</x:v>
      </x:c>
      <x:c r="W77" s="44" t="n">
        <x:v>0.7972350230414746</x:v>
      </x:c>
      <x:c r="X77" s="44" t="n">
        <x:v>0.10138248847926268</x:v>
      </x:c>
      <x:c r="Y77" s="44" t="n">
        <x:v>0</x:v>
      </x:c>
      <x:c r="Z77" s="44" t="n">
        <x:v>0.06470588235294118</x:v>
      </x:c>
      <x:c r="AA77" s="45" t="n">
        <x:v>0.711764705882353</x:v>
      </x:c>
      <x:c r="AB77" s="45" t="n">
        <x:v>0.041176470588235294</x:v>
      </x:c>
      <x:c r="AC77" s="45" t="n">
        <x:v>0.28823529411764703</x:v>
      </x:c>
      <x:c r="AD77" s="44" t="n">
        <x:v>0.3235294117647059</x:v>
      </x:c>
      <x:c r="AE77" s="44" t="n">
        <x:v>0.05294117647058824</x:v>
      </x:c>
      <x:c r="AF77" s="45" t="n">
        <x:v>0.3823529411764706</x:v>
      </x:c>
      <x:c r="AG77" s="45" t="n">
        <x:v>0.3725490196078431</x:v>
      </x:c>
      <x:c r="AH77" s="44" t="n">
        <x:v>0.14705882352941177</x:v>
      </x:c>
      <x:c r="AI77" s="44" t="n">
        <x:v>0.9411764705882353</x:v>
      </x:c>
      <x:c r="AJ77" s="45" t="n">
        <x:v>0.029411764705882353</x:v>
      </x:c>
      <x:c r="AK77" s="45" t="n">
        <x:v>0.4842592592592592</x:v>
      </x:c>
      <x:c r="AL77" s="45" t="n">
        <x:v>0.4130537400145243</x:v>
      </x:c>
      <x:c r="AM77" s="44" t="n">
        <x:v>0.37745098039215685</x:v>
      </x:c>
    </x:row>
    <x:row r="78" ht="15" hidden="0" customHeight="1">
      <x:c r="A78" s="44" t="str">
        <x:v>139-016</x:v>
      </x:c>
      <x:c r="B78" s="44" t="str">
        <x:v>Lalchak mounds</x:v>
      </x:c>
      <x:c r="C78" s="44" t="n">
        <x:v>250</x:v>
      </x:c>
      <x:c r="D78" s="44" t="str">
        <x:v>E2019</x:v>
      </x:c>
      <x:c r="E78" s="44" t="n">
        <x:v>2019</x:v>
      </x:c>
      <x:c r="F78" s="44" t="n">
        <x:v>217</x:v>
      </x:c>
      <x:c r="G78" s="45" t="n">
        <x:v>0.5444275140762329</x:v>
      </x:c>
      <x:c r="H78" s="44" t="n">
        <x:v>0.4473242461681366</x:v>
      </x:c>
      <x:c r="I78" s="44" t="n">
        <x:v>0.6170573234558105</x:v>
      </x:c>
      <x:c r="J78" s="45" t="n">
        <x:v>-0.16267596185207367</x:v>
      </x:c>
      <x:c r="K78" s="44" t="n">
        <x:v>-0.23783841729164124</x:v>
      </x:c>
      <x:c r="L78" s="44" t="n">
        <x:v>-0.046513631939888</x:v>
      </x:c>
      <x:c r="M78" s="45" t="n">
        <x:v>-0.41798150539398193</x:v>
      </x:c>
      <x:c r="N78" s="44" t="n">
        <x:v>-0.4436750113964081</x:v>
      </x:c>
      <x:c r="O78" s="44" t="n">
        <x:v>-0.3914332985877991</x:v>
      </x:c>
      <x:c r="P78" s="45" t="n">
        <x:v>-0.07420893013477325</x:v>
      </x:c>
      <x:c r="Q78" s="44" t="n">
        <x:v>-0.14084061980247498</x:v>
      </x:c>
      <x:c r="R78" s="44" t="n">
        <x:v>0.029601573944091797</x:v>
      </x:c>
      <x:c r="S78" s="44" t="n">
        <x:v>217</x:v>
      </x:c>
      <x:c r="T78" s="44" t="n">
        <x:v>0</x:v>
      </x:c>
      <x:c r="U78" s="44" t="n">
        <x:v>0</x:v>
      </x:c>
      <x:c r="V78" s="44" t="n">
        <x:v>0.33640552995391704</x:v>
      </x:c>
      <x:c r="W78" s="44" t="n">
        <x:v>0.6267281105990783</x:v>
      </x:c>
      <x:c r="X78" s="44" t="n">
        <x:v>0.03686635944700461</x:v>
      </x:c>
      <x:c r="Y78" s="44" t="n">
        <x:v>0</x:v>
      </x:c>
      <x:c r="Z78" s="44" t="n">
        <x:v>0.11176470588235295</x:v>
      </x:c>
      <x:c r="AA78" s="45" t="n">
        <x:v>0.37058823529411766</x:v>
      </x:c>
      <x:c r="AB78" s="45" t="n">
        <x:v>0.07647058823529412</x:v>
      </x:c>
      <x:c r="AC78" s="45" t="n">
        <x:v>0.12352941176470589</x:v>
      </x:c>
      <x:c r="AD78" s="44" t="n">
        <x:v>0.3235294117647059</x:v>
      </x:c>
      <x:c r="AE78" s="44" t="n">
        <x:v>0.09411764705882353</x:v>
      </x:c>
      <x:c r="AF78" s="45" t="n">
        <x:v>0.2323529411764706</x:v>
      </x:c>
      <x:c r="AG78" s="45" t="n">
        <x:v>0.3725490196078431</x:v>
      </x:c>
      <x:c r="AH78" s="44" t="n">
        <x:v>0.14705882352941177</x:v>
      </x:c>
      <x:c r="AI78" s="44" t="n">
        <x:v>0.9411764705882353</x:v>
      </x:c>
      <x:c r="AJ78" s="45" t="n">
        <x:v>0.029411764705882353</x:v>
      </x:c>
      <x:c r="AK78" s="45" t="n">
        <x:v>0.3138888888888889</x:v>
      </x:c>
      <x:c r="AL78" s="45" t="n">
        <x:v>0.3062636165577342</x:v>
      </x:c>
      <x:c r="AM78" s="44" t="n">
        <x:v>0.30245098039215684</x:v>
      </x:c>
    </x:row>
    <x:row r="79" ht="15" hidden="0" customHeight="1">
      <x:c r="A79" s="44" t="str">
        <x:v>139-016</x:v>
      </x:c>
      <x:c r="B79" s="44" t="str">
        <x:v>Lalchak mounds</x:v>
      </x:c>
      <x:c r="C79" s="44" t="n">
        <x:v>250</x:v>
      </x:c>
      <x:c r="D79" s="44" t="str">
        <x:v>E2024</x:v>
      </x:c>
      <x:c r="E79" s="44" t="n">
        <x:v>2024</x:v>
      </x:c>
      <x:c r="F79" s="44" t="n">
        <x:v>217</x:v>
      </x:c>
      <x:c r="G79" s="45" t="n">
        <x:v>0.5045789480209351</x:v>
      </x:c>
      <x:c r="H79" s="44" t="n">
        <x:v>0.4083796441555023</x:v>
      </x:c>
      <x:c r="I79" s="44" t="n">
        <x:v>0.5913928747177124</x:v>
      </x:c>
      <x:c r="J79" s="45" t="n">
        <x:v>-0.11269333213567734</x:v>
      </x:c>
      <x:c r="K79" s="44" t="n">
        <x:v>-0.1822124719619751</x:v>
      </x:c>
      <x:c r="L79" s="44" t="n">
        <x:v>-0.037934958934783936</x:v>
      </x:c>
      <x:c r="M79" s="45" t="n">
        <x:v>-0.4397760331630707</x:v>
      </x:c>
      <x:c r="N79" s="44" t="n">
        <x:v>-0.46167513728141785</x:v>
      </x:c>
      <x:c r="O79" s="44" t="n">
        <x:v>-0.41919487714767456</x:v>
      </x:c>
      <x:c r="P79" s="45" t="n">
        <x:v>-0.030376138165593147</x:v>
      </x:c>
      <x:c r="Q79" s="44" t="n">
        <x:v>-0.09757089614868164</x:v>
      </x:c>
      <x:c r="R79" s="44" t="n">
        <x:v>0.037032511085271835</x:v>
      </x:c>
      <x:c r="S79" s="44" t="n">
        <x:v>217</x:v>
      </x:c>
      <x:c r="T79" s="44" t="n">
        <x:v>0</x:v>
      </x:c>
      <x:c r="U79" s="44" t="n">
        <x:v>0</x:v>
      </x:c>
      <x:c r="V79" s="44" t="n">
        <x:v>0.41013824884792627</x:v>
      </x:c>
      <x:c r="W79" s="44" t="n">
        <x:v>0.35023041474654376</x:v>
      </x:c>
      <x:c r="X79" s="44" t="n">
        <x:v>0.23963133640552994</x:v>
      </x:c>
      <x:c r="Y79" s="44" t="n">
        <x:v>0</x:v>
      </x:c>
      <x:c r="Z79" s="44" t="n">
        <x:v>0.22941176470588234</x:v>
      </x:c>
      <x:c r="AA79" s="45" t="n">
        <x:v>0.7823529411764706</x:v>
      </x:c>
      <x:c r="AB79" s="45" t="n">
        <x:v>0.21764705882352942</x:v>
      </x:c>
      <x:c r="AC79" s="45" t="n">
        <x:v>0.12352941176470589</x:v>
      </x:c>
      <x:c r="AD79" s="44" t="n">
        <x:v>0.3235294117647059</x:v>
      </x:c>
      <x:c r="AE79" s="44" t="n">
        <x:v>0.22352941176470587</x:v>
      </x:c>
      <x:c r="AF79" s="45" t="n">
        <x:v>0.5029411764705882</x:v>
      </x:c>
      <x:c r="AG79" s="45" t="n">
        <x:v>0.3725490196078431</x:v>
      </x:c>
      <x:c r="AH79" s="44" t="n">
        <x:v>0.14705882352941177</x:v>
      </x:c>
      <x:c r="AI79" s="44" t="n">
        <x:v>0.9411764705882353</x:v>
      </x:c>
      <x:c r="AJ79" s="45" t="n">
        <x:v>0.029411764705882353</x:v>
      </x:c>
      <x:c r="AK79" s="45" t="n">
        <x:v>0.5259259259259259</x:v>
      </x:c>
      <x:c r="AL79" s="45" t="n">
        <x:v>0.46713870733478574</x:v>
      </x:c>
      <x:c r="AM79" s="44" t="n">
        <x:v>0.4377450980392157</x:v>
      </x:c>
    </x:row>
    <x:row r="80" ht="15" hidden="0" customHeight="1">
      <x:c r="A80" s="44" t="str">
        <x:v>139-017</x:v>
      </x:c>
      <x:c r="B80" s="44" t="str">
        <x:v>Buddhist remains around Bhallar stupa</x:v>
      </x:c>
      <x:c r="C80" s="44" t="n">
        <x:v>250</x:v>
      </x:c>
      <x:c r="D80" s="44" t="str">
        <x:v>E2004</x:v>
      </x:c>
      <x:c r="E80" s="44" t="n">
        <x:v>2004</x:v>
      </x:c>
      <x:c r="F80" s="44" t="n">
        <x:v>219</x:v>
      </x:c>
      <x:c r="G80" s="45" t="n">
        <x:v>0.3759267330169678</x:v>
      </x:c>
      <x:c r="H80" s="44" t="n">
        <x:v>0.3120039701461792</x:v>
      </x:c>
      <x:c r="I80" s="44" t="n">
        <x:v>0.4514613449573517</x:v>
      </x:c>
      <x:c r="J80" s="45" t="n">
        <x:v>-0.03009750135242939</x:v>
      </x:c>
      <x:c r="K80" s="44" t="n">
        <x:v>-0.12645213305950165</x:v>
      </x:c>
      <x:c r="L80" s="44" t="n">
        <x:v>0.028368163853883743</x:v>
      </x:c>
      <x:c r="M80" s="45" t="n">
        <x:v>-0.40585091710090637</x:v>
      </x:c>
      <x:c r="N80" s="44" t="n">
        <x:v>-0.4404985308647156</x:v>
      </x:c>
      <x:c r="O80" s="44" t="n">
        <x:v>-0.3560001254081726</x:v>
      </x:c>
      <x:c r="P80" s="45" t="n">
        <x:v>0.04533278942108154</x:v>
      </x:c>
      <x:c r="Q80" s="44" t="n">
        <x:v>-0.03878728672862053</x:v>
      </x:c>
      <x:c r="R80" s="44" t="n">
        <x:v>0.10102485865354538</x:v>
      </x:c>
      <x:c r="S80" s="44" t="n">
        <x:v>219</x:v>
      </x:c>
      <x:c r="T80" s="44" t="n">
        <x:v>0.1598173515981735</x:v>
      </x:c>
      <x:c r="U80" s="44" t="n">
        <x:v>0.0136986301369863</x:v>
      </x:c>
      <x:c r="V80" s="44" t="n">
        <x:v>0.6301369863013698</x:v>
      </x:c>
      <x:c r="W80" s="44" t="n">
        <x:v>0.0639269406392694</x:v>
      </x:c>
      <x:c r="X80" s="44" t="n">
        <x:v>0.1324200913242009</x:v>
      </x:c>
      <x:c r="Y80" s="44" t="n">
        <x:v>0</x:v>
      </x:c>
      <x:c r="Z80" s="44" t="n">
        <x:v>0.8294117647058824</x:v>
      </x:c>
      <x:c r="AA80" s="45" t="n">
        <x:v>0.19411764705882353</x:v>
      </x:c>
      <x:c r="AB80" s="45" t="n">
        <x:v>0.7</x:v>
      </x:c>
      <x:c r="AC80" s="45" t="n">
        <x:v>0.7823529411764706</x:v>
      </x:c>
      <x:c r="AD80" s="44" t="n">
        <x:v>0.7411764705882353</x:v>
      </x:c>
      <x:c r="AE80" s="44" t="n">
        <x:v>0.7647058823529411</x:v>
      </x:c>
      <x:c r="AF80" s="45" t="n">
        <x:v>0.4794117647058823</x:v>
      </x:c>
      <x:c r="AG80" s="45" t="n">
        <x:v>0.5980392156862745</x:v>
      </x:c>
      <x:c r="AH80" s="44" t="n">
        <x:v>0.5588235294117647</x:v>
      </x:c>
      <x:c r="AI80" s="44" t="n">
        <x:v>0.5588235294117647</x:v>
      </x:c>
      <x:c r="AJ80" s="45" t="n">
        <x:v>0.6764705882352942</x:v>
      </x:c>
      <x:c r="AK80" s="45" t="n">
        <x:v>0.5166666666666666</x:v>
      </x:c>
      <x:c r="AL80" s="45" t="n">
        <x:v>0.5313725490196078</x:v>
      </x:c>
      <x:c r="AM80" s="44" t="n">
        <x:v>0.5387254901960784</x:v>
      </x:c>
    </x:row>
    <x:row r="81" ht="15" hidden="0" customHeight="1">
      <x:c r="A81" s="44" t="str">
        <x:v>139-017</x:v>
      </x:c>
      <x:c r="B81" s="44" t="str">
        <x:v>Buddhist remains around Bhallar stupa</x:v>
      </x:c>
      <x:c r="C81" s="44" t="n">
        <x:v>250</x:v>
      </x:c>
      <x:c r="D81" s="44" t="str">
        <x:v>E2009</x:v>
      </x:c>
      <x:c r="E81" s="44" t="n">
        <x:v>2009</x:v>
      </x:c>
      <x:c r="F81" s="44" t="n">
        <x:v>219</x:v>
      </x:c>
      <x:c r="G81" s="45" t="n">
        <x:v>0.36593371629714966</x:v>
      </x:c>
      <x:c r="H81" s="44" t="n">
        <x:v>0.3074764013290405</x:v>
      </x:c>
      <x:c r="I81" s="44" t="n">
        <x:v>0.44086042046546936</x:v>
      </x:c>
      <x:c r="J81" s="45" t="n">
        <x:v>-0.021011436358094215</x:v>
      </x:c>
      <x:c r="K81" s="44" t="n">
        <x:v>-0.11374935507774353</x:v>
      </x:c>
      <x:c r="L81" s="44" t="n">
        <x:v>0.03230925276875496</x:v>
      </x:c>
      <x:c r="M81" s="45" t="n">
        <x:v>-0.40255916118621826</x:v>
      </x:c>
      <x:c r="N81" s="44" t="n">
        <x:v>-0.4467388689517975</x:v>
      </x:c>
      <x:c r="O81" s="44" t="n">
        <x:v>-0.3581240773200989</x:v>
      </x:c>
      <x:c r="P81" s="45" t="n">
        <x:v>0.052698273211717606</x:v>
      </x:c>
      <x:c r="Q81" s="44" t="n">
        <x:v>-0.03453771770000458</x:v>
      </x:c>
      <x:c r="R81" s="44" t="n">
        <x:v>0.10172045230865479</x:v>
      </x:c>
      <x:c r="S81" s="44" t="n">
        <x:v>219</x:v>
      </x:c>
      <x:c r="T81" s="44" t="n">
        <x:v>0.2420091324200913</x:v>
      </x:c>
      <x:c r="U81" s="44" t="n">
        <x:v>0</x:v>
      </x:c>
      <x:c r="V81" s="44" t="n">
        <x:v>0.6210045662100456</x:v>
      </x:c>
      <x:c r="W81" s="44" t="n">
        <x:v>0.0182648401826484</x:v>
      </x:c>
      <x:c r="X81" s="44" t="n">
        <x:v>0.1187214611872146</x:v>
      </x:c>
      <x:c r="Y81" s="44" t="n">
        <x:v>0</x:v>
      </x:c>
      <x:c r="Z81" s="44" t="n">
        <x:v>0.8647058823529412</x:v>
      </x:c>
      <x:c r="AA81" s="45" t="n">
        <x:v>0.12352941176470589</x:v>
      </x:c>
      <x:c r="AB81" s="45" t="n">
        <x:v>0.7705882352941177</x:v>
      </x:c>
      <x:c r="AC81" s="45" t="n">
        <x:v>0.9470588235294117</x:v>
      </x:c>
      <x:c r="AD81" s="44" t="n">
        <x:v>0.3235294117647059</x:v>
      </x:c>
      <x:c r="AE81" s="44" t="n">
        <x:v>0.8176470588235294</x:v>
      </x:c>
      <x:c r="AF81" s="45" t="n">
        <x:v>0.47058823529411764</x:v>
      </x:c>
      <x:c r="AG81" s="45" t="n">
        <x:v>0.5980392156862745</x:v>
      </x:c>
      <x:c r="AH81" s="44" t="n">
        <x:v>0.5588235294117647</x:v>
      </x:c>
      <x:c r="AI81" s="44" t="n">
        <x:v>0.5588235294117647</x:v>
      </x:c>
      <x:c r="AJ81" s="45" t="n">
        <x:v>0.6764705882352942</x:v>
      </x:c>
      <x:c r="AK81" s="45" t="n">
        <x:v>0.462037037037037</x:v>
      </x:c>
      <x:c r="AL81" s="45" t="n">
        <x:v>0.5102214960058097</x:v>
      </x:c>
      <x:c r="AM81" s="44" t="n">
        <x:v>0.5343137254901961</x:v>
      </x:c>
    </x:row>
    <x:row r="82" ht="15" hidden="0" customHeight="1">
      <x:c r="A82" s="44" t="str">
        <x:v>139-017</x:v>
      </x:c>
      <x:c r="B82" s="44" t="str">
        <x:v>Buddhist remains around Bhallar stupa</x:v>
      </x:c>
      <x:c r="C82" s="44" t="n">
        <x:v>250</x:v>
      </x:c>
      <x:c r="D82" s="44" t="str">
        <x:v>E2014</x:v>
      </x:c>
      <x:c r="E82" s="44" t="n">
        <x:v>2014</x:v>
      </x:c>
      <x:c r="F82" s="44" t="n">
        <x:v>213</x:v>
      </x:c>
      <x:c r="G82" s="45" t="n">
        <x:v>0.4095076322555542</x:v>
      </x:c>
      <x:c r="H82" s="44" t="n">
        <x:v>0.2955320477485657</x:v>
      </x:c>
      <x:c r="I82" s="44" t="n">
        <x:v>0.535047173500061</x:v>
      </x:c>
      <x:c r="J82" s="45" t="n">
        <x:v>-0.04697674885392189</x:v>
      </x:c>
      <x:c r="K82" s="44" t="n">
        <x:v>-0.13830114901065826</x:v>
      </x:c>
      <x:c r="L82" s="44" t="n">
        <x:v>0.022444671019911766</x:v>
      </x:c>
      <x:c r="M82" s="45" t="n">
        <x:v>-0.41274699568748474</x:v>
      </x:c>
      <x:c r="N82" s="44" t="n">
        <x:v>-0.4650256335735321</x:v>
      </x:c>
      <x:c r="O82" s="44" t="n">
        <x:v>-0.36768001317977905</x:v>
      </x:c>
      <x:c r="P82" s="45" t="n">
        <x:v>0.030027607455849648</x:v>
      </x:c>
      <x:c r="Q82" s="44" t="n">
        <x:v>-0.05180151388049126</x:v>
      </x:c>
      <x:c r="R82" s="44" t="n">
        <x:v>0.09510510414838791</x:v>
      </x:c>
      <x:c r="S82" s="44" t="n">
        <x:v>213</x:v>
      </x:c>
      <x:c r="T82" s="44" t="n">
        <x:v>0.16901408450704225</x:v>
      </x:c>
      <x:c r="U82" s="44" t="n">
        <x:v>0.004694835680751174</x:v>
      </x:c>
      <x:c r="V82" s="44" t="n">
        <x:v>0.39906103286384975</x:v>
      </x:c>
      <x:c r="W82" s="44" t="n">
        <x:v>0.13145539906103287</x:v>
      </x:c>
      <x:c r="X82" s="44" t="n">
        <x:v>0.29577464788732394</x:v>
      </x:c>
      <x:c r="Y82" s="44" t="n">
        <x:v>0</x:v>
      </x:c>
      <x:c r="Z82" s="44" t="n">
        <x:v>0.5352941176470588</x:v>
      </x:c>
      <x:c r="AA82" s="45" t="n">
        <x:v>0.3</x:v>
      </x:c>
      <x:c r="AB82" s="45" t="n">
        <x:v>0.5588235294117647</x:v>
      </x:c>
      <x:c r="AC82" s="45" t="n">
        <x:v>0.8176470588235294</x:v>
      </x:c>
      <x:c r="AD82" s="44" t="n">
        <x:v>0.7</x:v>
      </x:c>
      <x:c r="AE82" s="44" t="n">
        <x:v>0.5470588235294118</x:v>
      </x:c>
      <x:c r="AF82" s="45" t="n">
        <x:v>0.42352941176470593</x:v>
      </x:c>
      <x:c r="AG82" s="45" t="n">
        <x:v>0.5980392156862745</x:v>
      </x:c>
      <x:c r="AH82" s="44" t="n">
        <x:v>0.5588235294117647</x:v>
      </x:c>
      <x:c r="AI82" s="44" t="n">
        <x:v>0.5588235294117647</x:v>
      </x:c>
      <x:c r="AJ82" s="45" t="n">
        <x:v>0.6764705882352942</x:v>
      </x:c>
      <x:c r="AK82" s="45" t="n">
        <x:v>0.4842592592592592</x:v>
      </x:c>
      <x:c r="AL82" s="45" t="n">
        <x:v>0.5019426289034131</x:v>
      </x:c>
      <x:c r="AM82" s="44" t="n">
        <x:v>0.5107843137254902</x:v>
      </x:c>
    </x:row>
    <x:row r="83" ht="15" hidden="0" customHeight="1">
      <x:c r="A83" s="44" t="str">
        <x:v>139-017</x:v>
      </x:c>
      <x:c r="B83" s="44" t="str">
        <x:v>Buddhist remains around Bhallar stupa</x:v>
      </x:c>
      <x:c r="C83" s="44" t="n">
        <x:v>250</x:v>
      </x:c>
      <x:c r="D83" s="44" t="str">
        <x:v>E2019</x:v>
      </x:c>
      <x:c r="E83" s="44" t="n">
        <x:v>2019</x:v>
      </x:c>
      <x:c r="F83" s="44" t="n">
        <x:v>219</x:v>
      </x:c>
      <x:c r="G83" s="45" t="n">
        <x:v>0.4335514008998871</x:v>
      </x:c>
      <x:c r="H83" s="44" t="n">
        <x:v>0.3067276179790497</x:v>
      </x:c>
      <x:c r="I83" s="44" t="n">
        <x:v>0.5435551404953003</x:v>
      </x:c>
      <x:c r="J83" s="45" t="n">
        <x:v>-0.06379693746566772</x:v>
      </x:c>
      <x:c r="K83" s="44" t="n">
        <x:v>-0.16781459748744965</x:v>
      </x:c>
      <x:c r="L83" s="44" t="n">
        <x:v>0.003613933688029647</x:v>
      </x:c>
      <x:c r="M83" s="45" t="n">
        <x:v>-0.4036156237125397</x:v>
      </x:c>
      <x:c r="N83" s="44" t="n">
        <x:v>-0.4633745849132538</x:v>
      </x:c>
      <x:c r="O83" s="44" t="n">
        <x:v>-0.3425532579421997</x:v>
      </x:c>
      <x:c r="P83" s="45" t="n">
        <x:v>0.016750559210777283</x:v>
      </x:c>
      <x:c r="Q83" s="44" t="n">
        <x:v>-0.07772479951381683</x:v>
      </x:c>
      <x:c r="R83" s="44" t="n">
        <x:v>0.07951021194458008</x:v>
      </x:c>
      <x:c r="S83" s="44" t="n">
        <x:v>219</x:v>
      </x:c>
      <x:c r="T83" s="44" t="n">
        <x:v>0.2146118721461187</x:v>
      </x:c>
      <x:c r="U83" s="44" t="n">
        <x:v>0.0045662100456621</x:v>
      </x:c>
      <x:c r="V83" s="44" t="n">
        <x:v>0.2876712328767123</x:v>
      </x:c>
      <x:c r="W83" s="44" t="n">
        <x:v>0.1552511415525114</x:v>
      </x:c>
      <x:c r="X83" s="44" t="n">
        <x:v>0.3378995433789954</x:v>
      </x:c>
      <x:c r="Y83" s="44" t="n">
        <x:v>0</x:v>
      </x:c>
      <x:c r="Z83" s="44" t="n">
        <x:v>0.4764705882352941</x:v>
      </x:c>
      <x:c r="AA83" s="45" t="n">
        <x:v>0.13529411764705881</x:v>
      </x:c>
      <x:c r="AB83" s="45" t="n">
        <x:v>0.3941176470588235</x:v>
      </x:c>
      <x:c r="AC83" s="45" t="n">
        <x:v>0.9117647058823529</x:v>
      </x:c>
      <x:c r="AD83" s="44" t="n">
        <x:v>0.6823529411764706</x:v>
      </x:c>
      <x:c r="AE83" s="44" t="n">
        <x:v>0.43529411764705883</x:v>
      </x:c>
      <x:c r="AF83" s="45" t="n">
        <x:v>0.2852941176470588</x:v>
      </x:c>
      <x:c r="AG83" s="45" t="n">
        <x:v>0.5980392156862745</x:v>
      </x:c>
      <x:c r="AH83" s="44" t="n">
        <x:v>0.5588235294117647</x:v>
      </x:c>
      <x:c r="AI83" s="44" t="n">
        <x:v>0.5588235294117647</x:v>
      </x:c>
      <x:c r="AJ83" s="45" t="n">
        <x:v>0.6764705882352942</x:v>
      </x:c>
      <x:c r="AK83" s="45" t="n">
        <x:v>0.3138888888888889</x:v>
      </x:c>
      <x:c r="AL83" s="45" t="n">
        <x:v>0.3990740740740741</x:v>
      </x:c>
      <x:c r="AM83" s="44" t="n">
        <x:v>0.44166666666666665</x:v>
      </x:c>
    </x:row>
    <x:row r="84" ht="15" hidden="0" customHeight="1">
      <x:c r="A84" s="44" t="str">
        <x:v>139-017</x:v>
      </x:c>
      <x:c r="B84" s="44" t="str">
        <x:v>Buddhist remains around Bhallar stupa</x:v>
      </x:c>
      <x:c r="C84" s="44" t="n">
        <x:v>250</x:v>
      </x:c>
      <x:c r="D84" s="44" t="str">
        <x:v>E2024</x:v>
      </x:c>
      <x:c r="E84" s="44" t="n">
        <x:v>2024</x:v>
      </x:c>
      <x:c r="F84" s="44" t="n">
        <x:v>219</x:v>
      </x:c>
      <x:c r="G84" s="45" t="n">
        <x:v>0.4439898729324341</x:v>
      </x:c>
      <x:c r="H84" s="44" t="n">
        <x:v>0.2717936336994171</x:v>
      </x:c>
      <x:c r="I84" s="44" t="n">
        <x:v>0.575602114200592</x:v>
      </x:c>
      <x:c r="J84" s="45" t="n">
        <x:v>-0.07288651168346405</x:v>
      </x:c>
      <x:c r="K84" s="44" t="n">
        <x:v>-0.17587660253047943</x:v>
      </x:c>
      <x:c r="L84" s="44" t="n">
        <x:v>0.03634344041347504</x:v>
      </x:c>
      <x:c r="M84" s="45" t="n">
        <x:v>-0.41660377383232117</x:v>
      </x:c>
      <x:c r="N84" s="44" t="n">
        <x:v>-0.4706212282180786</x:v>
      </x:c>
      <x:c r="O84" s="44" t="n">
        <x:v>-0.361356258392334</x:v>
      </x:c>
      <x:c r="P84" s="45" t="n">
        <x:v>0.011188040487468243</x:v>
      </x:c>
      <x:c r="Q84" s="44" t="n">
        <x:v>-0.09301970154047012</x:v>
      </x:c>
      <x:c r="R84" s="44" t="n">
        <x:v>0.10253117233514786</x:v>
      </x:c>
      <x:c r="S84" s="44" t="n">
        <x:v>219</x:v>
      </x:c>
      <x:c r="T84" s="44" t="n">
        <x:v>0.2009132420091324</x:v>
      </x:c>
      <x:c r="U84" s="44" t="n">
        <x:v>0</x:v>
      </x:c>
      <x:c r="V84" s="44" t="n">
        <x:v>0.3242009132420091</x:v>
      </x:c>
      <x:c r="W84" s="44" t="n">
        <x:v>0.2785388127853881</x:v>
      </x:c>
      <x:c r="X84" s="44" t="n">
        <x:v>0.1963470319634703</x:v>
      </x:c>
      <x:c r="Y84" s="44" t="n">
        <x:v>0</x:v>
      </x:c>
      <x:c r="Z84" s="44" t="n">
        <x:v>0.40588235294117647</x:v>
      </x:c>
      <x:c r="AA84" s="45" t="n">
        <x:v>0.3352941176470588</x:v>
      </x:c>
      <x:c r="AB84" s="45" t="n">
        <x:v>0.3588235294117647</x:v>
      </x:c>
      <x:c r="AC84" s="45" t="n">
        <x:v>0.888235294117647</x:v>
      </x:c>
      <x:c r="AD84" s="44" t="n">
        <x:v>0.3235294117647059</x:v>
      </x:c>
      <x:c r="AE84" s="44" t="n">
        <x:v>0.38235294117647056</x:v>
      </x:c>
      <x:c r="AF84" s="45" t="n">
        <x:v>0.35882352941176465</x:v>
      </x:c>
      <x:c r="AG84" s="45" t="n">
        <x:v>0.5980392156862745</x:v>
      </x:c>
      <x:c r="AH84" s="44" t="n">
        <x:v>0.5588235294117647</x:v>
      </x:c>
      <x:c r="AI84" s="44" t="n">
        <x:v>0.5588235294117647</x:v>
      </x:c>
      <x:c r="AJ84" s="45" t="n">
        <x:v>0.6764705882352942</x:v>
      </x:c>
      <x:c r="AK84" s="45" t="n">
        <x:v>0.5259259259259259</x:v>
      </x:c>
      <x:c r="AL84" s="45" t="n">
        <x:v>0.4942628903413217</x:v>
      </x:c>
      <x:c r="AM84" s="44" t="n">
        <x:v>0.4784313725490196</x:v>
      </x:c>
    </x:row>
    <x:row r="85" ht="15" hidden="0" customHeight="1">
      <x:c r="A85" s="44" t="str">
        <x:v>139-018</x:v>
      </x:c>
      <x:c r="B85" s="44" t="str">
        <x:v>Giri Mosque and tombs</x:v>
      </x:c>
      <x:c r="C85" s="44" t="n">
        <x:v>250</x:v>
      </x:c>
      <x:c r="D85" s="44" t="str">
        <x:v>E2004</x:v>
      </x:c>
      <x:c r="E85" s="44" t="n">
        <x:v>2004</x:v>
      </x:c>
      <x:c r="F85" s="44" t="n">
        <x:v>219</x:v>
      </x:c>
      <x:c r="G85" s="45" t="n">
        <x:v>0.5384989380836487</x:v>
      </x:c>
      <x:c r="H85" s="44" t="n">
        <x:v>0.4456789195537567</x:v>
      </x:c>
      <x:c r="I85" s="44" t="n">
        <x:v>0.6274721622467041</x:v>
      </x:c>
      <x:c r="J85" s="45" t="n">
        <x:v>-0.1237630844116211</x:v>
      </x:c>
      <x:c r="K85" s="44" t="n">
        <x:v>-0.25116685032844543</x:v>
      </x:c>
      <x:c r="L85" s="44" t="n">
        <x:v>-0.024152299389243126</x:v>
      </x:c>
      <x:c r="M85" s="45" t="n">
        <x:v>-0.4416521489620209</x:v>
      </x:c>
      <x:c r="N85" s="44" t="n">
        <x:v>-0.4755762219429016</x:v>
      </x:c>
      <x:c r="O85" s="44" t="n">
        <x:v>-0.37771931290626526</x:v>
      </x:c>
      <x:c r="P85" s="45" t="n">
        <x:v>-0.047816816717386246</x:v>
      </x:c>
      <x:c r="Q85" s="44" t="n">
        <x:v>-0.16281011700630188</x:v>
      </x:c>
      <x:c r="R85" s="44" t="n">
        <x:v>0.04587836563587189</x:v>
      </x:c>
      <x:c r="S85" s="44" t="n">
        <x:v>219</x:v>
      </x:c>
      <x:c r="T85" s="44" t="n">
        <x:v>0</x:v>
      </x:c>
      <x:c r="U85" s="44" t="n">
        <x:v>0</x:v>
      </x:c>
      <x:c r="V85" s="44" t="n">
        <x:v>0.0958904109589041</x:v>
      </x:c>
      <x:c r="W85" s="44" t="n">
        <x:v>0.5753424657534246</x:v>
      </x:c>
      <x:c r="X85" s="44" t="n">
        <x:v>0.3287671232876712</x:v>
      </x:c>
      <x:c r="Y85" s="44" t="n">
        <x:v>0</x:v>
      </x:c>
      <x:c r="Z85" s="44" t="n">
        <x:v>0.13529411764705881</x:v>
      </x:c>
      <x:c r="AA85" s="45" t="n">
        <x:v>0.8058823529411765</x:v>
      </x:c>
      <x:c r="AB85" s="45" t="n">
        <x:v>0.17058823529411765</x:v>
      </x:c>
      <x:c r="AC85" s="45" t="n">
        <x:v>0.12352941176470589</x:v>
      </x:c>
      <x:c r="AD85" s="44" t="n">
        <x:v>0.3235294117647059</x:v>
      </x:c>
      <x:c r="AE85" s="44" t="n">
        <x:v>0.15294117647058825</x:v>
      </x:c>
      <x:c r="AF85" s="45" t="n">
        <x:v>0.47941176470588237</x:v>
      </x:c>
      <x:c r="AG85" s="45" t="n">
        <x:v>0.7352941176470588</x:v>
      </x:c>
      <x:c r="AH85" s="44" t="n">
        <x:v>0.8529411764705882</x:v>
      </x:c>
      <x:c r="AI85" s="44" t="n">
        <x:v>0.4411764705882353</x:v>
      </x:c>
      <x:c r="AJ85" s="45" t="n">
        <x:v>0.9117647058823529</x:v>
      </x:c>
      <x:c r="AK85" s="45" t="n">
        <x:v>0.5166666666666666</x:v>
      </x:c>
      <x:c r="AL85" s="45" t="n">
        <x:v>0.5771241830065359</x:v>
      </x:c>
      <x:c r="AM85" s="44" t="n">
        <x:v>0.6073529411764705</x:v>
      </x:c>
    </x:row>
    <x:row r="86" ht="15" hidden="0" customHeight="1">
      <x:c r="A86" s="44" t="str">
        <x:v>139-018</x:v>
      </x:c>
      <x:c r="B86" s="44" t="str">
        <x:v>Giri Mosque and tombs</x:v>
      </x:c>
      <x:c r="C86" s="44" t="n">
        <x:v>250</x:v>
      </x:c>
      <x:c r="D86" s="44" t="str">
        <x:v>E2009</x:v>
      </x:c>
      <x:c r="E86" s="44" t="n">
        <x:v>2009</x:v>
      </x:c>
      <x:c r="F86" s="44" t="n">
        <x:v>219</x:v>
      </x:c>
      <x:c r="G86" s="45" t="n">
        <x:v>0.5026785731315613</x:v>
      </x:c>
      <x:c r="H86" s="44" t="n">
        <x:v>0.4126760959625244</x:v>
      </x:c>
      <x:c r="I86" s="44" t="n">
        <x:v>0.5969694256782532</x:v>
      </x:c>
      <x:c r="J86" s="45" t="n">
        <x:v>-0.09641122817993164</x:v>
      </x:c>
      <x:c r="K86" s="44" t="n">
        <x:v>-0.22088731825351715</x:v>
      </x:c>
      <x:c r="L86" s="44" t="n">
        <x:v>0.00647764140740037</x:v>
      </x:c>
      <x:c r="M86" s="45" t="n">
        <x:v>-0.44884684681892395</x:v>
      </x:c>
      <x:c r="N86" s="44" t="n">
        <x:v>-0.48355770111083984</x:v>
      </x:c>
      <x:c r="O86" s="44" t="n">
        <x:v>-0.3854258060455322</x:v>
      </x:c>
      <x:c r="P86" s="45" t="n">
        <x:v>-0.02800535224378109</x:v>
      </x:c>
      <x:c r="Q86" s="44" t="n">
        <x:v>-0.14402224123477936</x:v>
      </x:c>
      <x:c r="R86" s="44" t="n">
        <x:v>0.06759627908468246</x:v>
      </x:c>
      <x:c r="S86" s="44" t="n">
        <x:v>219</x:v>
      </x:c>
      <x:c r="T86" s="44" t="n">
        <x:v>0</x:v>
      </x:c>
      <x:c r="U86" s="44" t="n">
        <x:v>0</x:v>
      </x:c>
      <x:c r="V86" s="44" t="n">
        <x:v>0.1506849315068493</x:v>
      </x:c>
      <x:c r="W86" s="44" t="n">
        <x:v>0.4611872146118721</x:v>
      </x:c>
      <x:c r="X86" s="44" t="n">
        <x:v>0.3881278538812785</x:v>
      </x:c>
      <x:c r="Y86" s="44" t="n">
        <x:v>0</x:v>
      </x:c>
      <x:c r="Z86" s="44" t="n">
        <x:v>0.2411764705882353</x:v>
      </x:c>
      <x:c r="AA86" s="45" t="n">
        <x:v>0.8529411764705882</x:v>
      </x:c>
      <x:c r="AB86" s="45" t="n">
        <x:v>0.27647058823529413</x:v>
      </x:c>
      <x:c r="AC86" s="45" t="n">
        <x:v>0.12352941176470589</x:v>
      </x:c>
      <x:c r="AD86" s="44" t="n">
        <x:v>0.3235294117647059</x:v>
      </x:c>
      <x:c r="AE86" s="44" t="n">
        <x:v>0.25882352941176473</x:v>
      </x:c>
      <x:c r="AF86" s="45" t="n">
        <x:v>0.5558823529411765</x:v>
      </x:c>
      <x:c r="AG86" s="45" t="n">
        <x:v>0.7352941176470588</x:v>
      </x:c>
      <x:c r="AH86" s="44" t="n">
        <x:v>0.8529411764705882</x:v>
      </x:c>
      <x:c r="AI86" s="44" t="n">
        <x:v>0.4411764705882353</x:v>
      </x:c>
      <x:c r="AJ86" s="45" t="n">
        <x:v>0.9117647058823529</x:v>
      </x:c>
      <x:c r="AK86" s="45" t="n">
        <x:v>0.462037037037037</x:v>
      </x:c>
      <x:c r="AL86" s="45" t="n">
        <x:v>0.5844045025417574</x:v>
      </x:c>
      <x:c r="AM86" s="44" t="n">
        <x:v>0.6455882352941176</x:v>
      </x:c>
    </x:row>
    <x:row r="87" ht="15" hidden="0" customHeight="1">
      <x:c r="A87" s="44" t="str">
        <x:v>139-018</x:v>
      </x:c>
      <x:c r="B87" s="44" t="str">
        <x:v>Giri Mosque and tombs</x:v>
      </x:c>
      <x:c r="C87" s="44" t="n">
        <x:v>250</x:v>
      </x:c>
      <x:c r="D87" s="44" t="str">
        <x:v>E2014</x:v>
      </x:c>
      <x:c r="E87" s="44" t="n">
        <x:v>2014</x:v>
      </x:c>
      <x:c r="F87" s="44" t="n">
        <x:v>219</x:v>
      </x:c>
      <x:c r="G87" s="45" t="n">
        <x:v>0.5281989574432373</x:v>
      </x:c>
      <x:c r="H87" s="44" t="n">
        <x:v>0.4165857434272766</x:v>
      </x:c>
      <x:c r="I87" s="44" t="n">
        <x:v>0.6400242447853088</x:v>
      </x:c>
      <x:c r="J87" s="45" t="n">
        <x:v>-0.09549693018198013</x:v>
      </x:c>
      <x:c r="K87" s="44" t="n">
        <x:v>-0.22040818631649017</x:v>
      </x:c>
      <x:c r="L87" s="44" t="n">
        <x:v>0.017215130850672722</x:v>
      </x:c>
      <x:c r="M87" s="45" t="n">
        <x:v>-0.4735402464866638</x:v>
      </x:c>
      <x:c r="N87" s="44" t="n">
        <x:v>-0.4947357773780823</x:v>
      </x:c>
      <x:c r="O87" s="44" t="n">
        <x:v>-0.4353347420692444</x:v>
      </x:c>
      <x:c r="P87" s="45" t="n">
        <x:v>-0.02440917305648327</x:v>
      </x:c>
      <x:c r="Q87" s="44" t="n">
        <x:v>-0.14090605080127716</x:v>
      </x:c>
      <x:c r="R87" s="44" t="n">
        <x:v>0.07365158945322037</x:v>
      </x:c>
      <x:c r="S87" s="44" t="n">
        <x:v>219</x:v>
      </x:c>
      <x:c r="T87" s="44" t="n">
        <x:v>0</x:v>
      </x:c>
      <x:c r="U87" s="44" t="n">
        <x:v>0</x:v>
      </x:c>
      <x:c r="V87" s="44" t="n">
        <x:v>0.0547945205479452</x:v>
      </x:c>
      <x:c r="W87" s="44" t="n">
        <x:v>0.4474885844748858</x:v>
      </x:c>
      <x:c r="X87" s="44" t="n">
        <x:v>0.4977168949771689</x:v>
      </x:c>
      <x:c r="Y87" s="44" t="n">
        <x:v>0</x:v>
      </x:c>
      <x:c r="Z87" s="44" t="n">
        <x:v>0.18235294117647058</x:v>
      </x:c>
      <x:c r="AA87" s="45" t="n">
        <x:v>0.9941176470588236</x:v>
      </x:c>
      <x:c r="AB87" s="45" t="n">
        <x:v>0.28823529411764703</x:v>
      </x:c>
      <x:c r="AC87" s="45" t="n">
        <x:v>0.12352941176470589</x:v>
      </x:c>
      <x:c r="AD87" s="44" t="n">
        <x:v>0.3235294117647059</x:v>
      </x:c>
      <x:c r="AE87" s="44" t="n">
        <x:v>0.23529411764705882</x:v>
      </x:c>
      <x:c r="AF87" s="45" t="n">
        <x:v>0.6147058823529412</x:v>
      </x:c>
      <x:c r="AG87" s="45" t="n">
        <x:v>0.7352941176470588</x:v>
      </x:c>
      <x:c r="AH87" s="44" t="n">
        <x:v>0.8529411764705882</x:v>
      </x:c>
      <x:c r="AI87" s="44" t="n">
        <x:v>0.4411764705882353</x:v>
      </x:c>
      <x:c r="AJ87" s="45" t="n">
        <x:v>0.9117647058823529</x:v>
      </x:c>
      <x:c r="AK87" s="45" t="n">
        <x:v>0.4842592592592592</x:v>
      </x:c>
      <x:c r="AL87" s="45" t="n">
        <x:v>0.6114197530864197</x:v>
      </x:c>
      <x:c r="AM87" s="44" t="n">
        <x:v>0.675</x:v>
      </x:c>
    </x:row>
    <x:row r="88" ht="15" hidden="0" customHeight="1">
      <x:c r="A88" s="44" t="str">
        <x:v>139-018</x:v>
      </x:c>
      <x:c r="B88" s="44" t="str">
        <x:v>Giri Mosque and tombs</x:v>
      </x:c>
      <x:c r="C88" s="44" t="n">
        <x:v>250</x:v>
      </x:c>
      <x:c r="D88" s="44" t="str">
        <x:v>E2019</x:v>
      </x:c>
      <x:c r="E88" s="44" t="n">
        <x:v>2019</x:v>
      </x:c>
      <x:c r="F88" s="44" t="n">
        <x:v>219</x:v>
      </x:c>
      <x:c r="G88" s="45" t="n">
        <x:v>0.5289149284362793</x:v>
      </x:c>
      <x:c r="H88" s="44" t="n">
        <x:v>0.37507766485214233</x:v>
      </x:c>
      <x:c r="I88" s="44" t="n">
        <x:v>0.662033200263977</x:v>
      </x:c>
      <x:c r="J88" s="45" t="n">
        <x:v>-0.10065731406211853</x:v>
      </x:c>
      <x:c r="K88" s="44" t="n">
        <x:v>-0.23343591392040253</x:v>
      </x:c>
      <x:c r="L88" s="44" t="n">
        <x:v>0.03247231990098953</x:v>
      </x:c>
      <x:c r="M88" s="45" t="n">
        <x:v>-0.46632713079452515</x:v>
      </x:c>
      <x:c r="N88" s="44" t="n">
        <x:v>-0.48916736245155334</x:v>
      </x:c>
      <x:c r="O88" s="44" t="n">
        <x:v>-0.4230426251888275</x:v>
      </x:c>
      <x:c r="P88" s="45" t="n">
        <x:v>-0.024009283632040024</x:v>
      </x:c>
      <x:c r="Q88" s="44" t="n">
        <x:v>-0.15557552874088287</x:v>
      </x:c>
      <x:c r="R88" s="44" t="n">
        <x:v>0.09313693642616272</x:v>
      </x:c>
      <x:c r="S88" s="44" t="n">
        <x:v>219</x:v>
      </x:c>
      <x:c r="T88" s="44" t="n">
        <x:v>0</x:v>
      </x:c>
      <x:c r="U88" s="44" t="n">
        <x:v>0</x:v>
      </x:c>
      <x:c r="V88" s="44" t="n">
        <x:v>0.1278538812785388</x:v>
      </x:c>
      <x:c r="W88" s="44" t="n">
        <x:v>0.3789954337899543</x:v>
      </x:c>
      <x:c r="X88" s="44" t="n">
        <x:v>0.4931506849315068</x:v>
      </x:c>
      <x:c r="Y88" s="44" t="n">
        <x:v>0</x:v>
      </x:c>
      <x:c r="Z88" s="44" t="n">
        <x:v>0.1588235294117647</x:v>
      </x:c>
      <x:c r="AA88" s="45" t="n">
        <x:v>0.9705882352941176</x:v>
      </x:c>
      <x:c r="AB88" s="45" t="n">
        <x:v>0.2529411764705882</x:v>
      </x:c>
      <x:c r="AC88" s="45" t="n">
        <x:v>0.12352941176470589</x:v>
      </x:c>
      <x:c r="AD88" s="44" t="n">
        <x:v>0.3235294117647059</x:v>
      </x:c>
      <x:c r="AE88" s="44" t="n">
        <x:v>0.20588235294117646</x:v>
      </x:c>
      <x:c r="AF88" s="45" t="n">
        <x:v>0.5882352941176471</x:v>
      </x:c>
      <x:c r="AG88" s="45" t="n">
        <x:v>0.7352941176470588</x:v>
      </x:c>
      <x:c r="AH88" s="44" t="n">
        <x:v>0.8529411764705882</x:v>
      </x:c>
      <x:c r="AI88" s="44" t="n">
        <x:v>0.4411764705882353</x:v>
      </x:c>
      <x:c r="AJ88" s="45" t="n">
        <x:v>0.9117647058823529</x:v>
      </x:c>
      <x:c r="AK88" s="45" t="n">
        <x:v>0.3138888888888889</x:v>
      </x:c>
      <x:c r="AL88" s="45" t="n">
        <x:v>0.5458061002178649</x:v>
      </x:c>
      <x:c r="AM88" s="44" t="n">
        <x:v>0.6617647058823529</x:v>
      </x:c>
    </x:row>
    <x:row r="89" ht="15" hidden="0" customHeight="1">
      <x:c r="A89" s="44" t="str">
        <x:v>139-018</x:v>
      </x:c>
      <x:c r="B89" s="44" t="str">
        <x:v>Giri Mosque and tombs</x:v>
      </x:c>
      <x:c r="C89" s="44" t="n">
        <x:v>250</x:v>
      </x:c>
      <x:c r="D89" s="44" t="str">
        <x:v>E2024</x:v>
      </x:c>
      <x:c r="E89" s="44" t="n">
        <x:v>2024</x:v>
      </x:c>
      <x:c r="F89" s="44" t="n">
        <x:v>219</x:v>
      </x:c>
      <x:c r="G89" s="45" t="n">
        <x:v>0.628342866897583</x:v>
      </x:c>
      <x:c r="H89" s="44" t="n">
        <x:v>0.5047805905342102</x:v>
      </x:c>
      <x:c r="I89" s="44" t="n">
        <x:v>0.7293673157691956</x:v>
      </x:c>
      <x:c r="J89" s="45" t="n">
        <x:v>-0.1762988269329071</x:v>
      </x:c>
      <x:c r="K89" s="44" t="n">
        <x:v>-0.2737511992454529</x:v>
      </x:c>
      <x:c r="L89" s="44" t="n">
        <x:v>-0.07864236831665039</x:v>
      </x:c>
      <x:c r="M89" s="45" t="n">
        <x:v>-0.4692588448524475</x:v>
      </x:c>
      <x:c r="N89" s="44" t="n">
        <x:v>-0.4917657673358917</x:v>
      </x:c>
      <x:c r="O89" s="44" t="n">
        <x:v>-0.43702232837677</x:v>
      </x:c>
      <x:c r="P89" s="45" t="n">
        <x:v>-0.10577266663312912</x:v>
      </x:c>
      <x:c r="Q89" s="44" t="n">
        <x:v>-0.20353731513023376</x:v>
      </x:c>
      <x:c r="R89" s="44" t="n">
        <x:v>-0.00501965032890439</x:v>
      </x:c>
      <x:c r="S89" s="44" t="n">
        <x:v>219</x:v>
      </x:c>
      <x:c r="T89" s="44" t="n">
        <x:v>0</x:v>
      </x:c>
      <x:c r="U89" s="44" t="n">
        <x:v>0</x:v>
      </x:c>
      <x:c r="V89" s="44" t="n">
        <x:v>0.0319634703196347</x:v>
      </x:c>
      <x:c r="W89" s="44" t="n">
        <x:v>0.771689497716895</x:v>
      </x:c>
      <x:c r="X89" s="44" t="n">
        <x:v>0.1963470319634703</x:v>
      </x:c>
      <x:c r="Y89" s="44" t="n">
        <x:v>0</x:v>
      </x:c>
      <x:c r="Z89" s="44" t="n">
        <x:v>0.01764705882352941</x:v>
      </x:c>
      <x:c r="AA89" s="45" t="n">
        <x:v>0.9823529411764705</x:v>
      </x:c>
      <x:c r="AB89" s="45" t="n">
        <x:v>0.052941176470588235</x:v>
      </x:c>
      <x:c r="AC89" s="45" t="n">
        <x:v>0.12352941176470589</x:v>
      </x:c>
      <x:c r="AD89" s="44" t="n">
        <x:v>0.3235294117647059</x:v>
      </x:c>
      <x:c r="AE89" s="44" t="n">
        <x:v>0.03529411764705882</x:v>
      </x:c>
      <x:c r="AF89" s="45" t="n">
        <x:v>0.5088235294117647</x:v>
      </x:c>
      <x:c r="AG89" s="45" t="n">
        <x:v>0.7352941176470588</x:v>
      </x:c>
      <x:c r="AH89" s="44" t="n">
        <x:v>0.8529411764705882</x:v>
      </x:c>
      <x:c r="AI89" s="44" t="n">
        <x:v>0.4411764705882353</x:v>
      </x:c>
      <x:c r="AJ89" s="45" t="n">
        <x:v>0.9117647058823529</x:v>
      </x:c>
      <x:c r="AK89" s="45" t="n">
        <x:v>0.5259259259259259</x:v>
      </x:c>
      <x:c r="AL89" s="45" t="n">
        <x:v>0.5900145243282499</x:v>
      </x:c>
      <x:c r="AM89" s="44" t="n">
        <x:v>0.6220588235294118</x:v>
      </x:c>
    </x:row>
    <x:row r="90" ht="15" hidden="0" customHeight="1">
      <x:c r="A90" s="44" t="str">
        <x:v>139-001</x:v>
      </x:c>
      <x:c r="B90" s="44" t="str">
        <x:v>Khanpur Cave</x:v>
      </x:c>
      <x:c r="C90" s="44" t="n">
        <x:v>500</x:v>
      </x:c>
      <x:c r="D90" s="44" t="str">
        <x:v>E2004</x:v>
      </x:c>
      <x:c r="E90" s="44" t="n">
        <x:v>2004</x:v>
      </x:c>
      <x:c r="F90" s="44" t="n">
        <x:v>871</x:v>
      </x:c>
      <x:c r="G90" s="45" t="n">
        <x:v>0.3680725395679474</x:v>
      </x:c>
      <x:c r="H90" s="44" t="n">
        <x:v>0.23093225061893463</x:v>
      </x:c>
      <x:c r="I90" s="44" t="n">
        <x:v>0.5044877529144287</x:v>
      </x:c>
      <x:c r="J90" s="45" t="n">
        <x:v>-0.022779567167162895</x:v>
      </x:c>
      <x:c r="K90" s="44" t="n">
        <x:v>-0.17434708774089813</x:v>
      </x:c>
      <x:c r="L90" s="44" t="n">
        <x:v>0.10830790549516678</x:v>
      </x:c>
      <x:c r="M90" s="45" t="n">
        <x:v>-0.41781896352767944</x:v>
      </x:c>
      <x:c r="N90" s="44" t="n">
        <x:v>-0.45509618520736694</x:v>
      </x:c>
      <x:c r="O90" s="44" t="n">
        <x:v>-0.3517124056816101</x:v>
      </x:c>
      <x:c r="P90" s="45" t="n">
        <x:v>0.052559517323970795</x:v>
      </x:c>
      <x:c r="Q90" s="44" t="n">
        <x:v>-0.08124054223299026</x:v>
      </x:c>
      <x:c r="R90" s="44" t="n">
        <x:v>0.16409674286842346</x:v>
      </x:c>
      <x:c r="S90" s="44" t="n">
        <x:v>871</x:v>
      </x:c>
      <x:c r="T90" s="44" t="n">
        <x:v>0.14121699196326062</x:v>
      </x:c>
      <x:c r="U90" s="44" t="n">
        <x:v>0.1113662456946039</x:v>
      </x:c>
      <x:c r="V90" s="44" t="n">
        <x:v>0.41446613088404133</x:v>
      </x:c>
      <x:c r="W90" s="44" t="n">
        <x:v>0.11710677382319173</x:v>
      </x:c>
      <x:c r="X90" s="44" t="n">
        <x:v>0.2158438576349024</x:v>
      </x:c>
      <x:c r="Y90" s="44" t="n">
        <x:v>0</x:v>
      </x:c>
      <x:c r="Z90" s="44" t="n">
        <x:v>0.711764705882353</x:v>
      </x:c>
      <x:c r="AA90" s="45" t="n">
        <x:v>0.45294117647058824</x:v>
      </x:c>
      <x:c r="AB90" s="45" t="n">
        <x:v>0.6294117647058823</x:v>
      </x:c>
      <x:c r="AC90" s="45" t="n">
        <x:v>0.7588235294117647</x:v>
      </x:c>
      <x:c r="AD90" s="44" t="n">
        <x:v>0.9352941176470588</x:v>
      </x:c>
      <x:c r="AE90" s="44" t="n">
        <x:v>0.6705882352941177</x:v>
      </x:c>
      <x:c r="AF90" s="45" t="n">
        <x:v>0.5617647058823529</x:v>
      </x:c>
      <x:c r="AG90" s="45" t="n">
        <x:v>0.4411764705882353</x:v>
      </x:c>
      <x:c r="AH90" s="44" t="n">
        <x:v>0.6176470588235294</x:v>
      </x:c>
      <x:c r="AI90" s="44" t="n">
        <x:v>0.3235294117647059</x:v>
      </x:c>
      <x:c r="AJ90" s="45" t="n">
        <x:v>0.38235294117647056</x:v>
      </x:c>
      <x:c r="AK90" s="45" t="n">
        <x:v>0.5166666666666666</x:v>
      </x:c>
      <x:c r="AL90" s="45" t="n">
        <x:v>0.5065359477124183</x:v>
      </x:c>
      <x:c r="AM90" s="44" t="n">
        <x:v>0.5014705882352941</x:v>
      </x:c>
    </x:row>
    <x:row r="91" ht="15" hidden="0" customHeight="1">
      <x:c r="A91" s="44" t="str">
        <x:v>139-001</x:v>
      </x:c>
      <x:c r="B91" s="44" t="str">
        <x:v>Khanpur Cave</x:v>
      </x:c>
      <x:c r="C91" s="44" t="n">
        <x:v>500</x:v>
      </x:c>
      <x:c r="D91" s="44" t="str">
        <x:v>E2009</x:v>
      </x:c>
      <x:c r="E91" s="44" t="n">
        <x:v>2009</x:v>
      </x:c>
      <x:c r="F91" s="44" t="n">
        <x:v>871</x:v>
      </x:c>
      <x:c r="G91" s="45" t="n">
        <x:v>0.346601665019989</x:v>
      </x:c>
      <x:c r="H91" s="44" t="n">
        <x:v>0.21182923018932343</x:v>
      </x:c>
      <x:c r="I91" s="44" t="n">
        <x:v>0.4767153561115265</x:v>
      </x:c>
      <x:c r="J91" s="45" t="n">
        <x:v>-0.012237423099577427</x:v>
      </x:c>
      <x:c r="K91" s="44" t="n">
        <x:v>-0.15325824916362762</x:v>
      </x:c>
      <x:c r="L91" s="44" t="n">
        <x:v>0.12653017044067383</x:v>
      </x:c>
      <x:c r="M91" s="45" t="n">
        <x:v>-0.41813018918037415</x:v>
      </x:c>
      <x:c r="N91" s="44" t="n">
        <x:v>-0.4565170407295227</x:v>
      </x:c>
      <x:c r="O91" s="44" t="n">
        <x:v>-0.3446846306324005</x:v>
      </x:c>
      <x:c r="P91" s="45" t="n">
        <x:v>0.0620109923183918</x:v>
      </x:c>
      <x:c r="Q91" s="44" t="n">
        <x:v>-0.0627417266368866</x:v>
      </x:c>
      <x:c r="R91" s="44" t="n">
        <x:v>0.18288753926753998</x:v>
      </x:c>
      <x:c r="S91" s="44" t="n">
        <x:v>871</x:v>
      </x:c>
      <x:c r="T91" s="44" t="n">
        <x:v>0.21699196326061998</x:v>
      </x:c>
      <x:c r="U91" s="44" t="n">
        <x:v>0.15269804822043628</x:v>
      </x:c>
      <x:c r="V91" s="44" t="n">
        <x:v>0.34443168771526983</x:v>
      </x:c>
      <x:c r="W91" s="44" t="n">
        <x:v>0.040183696900114814</x:v>
      </x:c>
      <x:c r="X91" s="44" t="n">
        <x:v>0.24569460390355913</x:v>
      </x:c>
      <x:c r="Y91" s="44" t="n">
        <x:v>0</x:v>
      </x:c>
      <x:c r="Z91" s="44" t="n">
        <x:v>0.8647058823529412</x:v>
      </x:c>
      <x:c r="AA91" s="45" t="n">
        <x:v>0.4647058823529412</x:v>
      </x:c>
      <x:c r="AB91" s="45" t="n">
        <x:v>0.7470588235294118</x:v>
      </x:c>
      <x:c r="AC91" s="45" t="n">
        <x:v>0.8647058823529412</x:v>
      </x:c>
      <x:c r="AD91" s="44" t="n">
        <x:v>0.9823529411764705</x:v>
      </x:c>
      <x:c r="AE91" s="44" t="n">
        <x:v>0.8058823529411765</x:v>
      </x:c>
      <x:c r="AF91" s="45" t="n">
        <x:v>0.6352941176470588</x:v>
      </x:c>
      <x:c r="AG91" s="45" t="n">
        <x:v>0.4411764705882353</x:v>
      </x:c>
      <x:c r="AH91" s="44" t="n">
        <x:v>0.6176470588235294</x:v>
      </x:c>
      <x:c r="AI91" s="44" t="n">
        <x:v>0.3235294117647059</x:v>
      </x:c>
      <x:c r="AJ91" s="45" t="n">
        <x:v>0.38235294117647056</x:v>
      </x:c>
      <x:c r="AK91" s="45" t="n">
        <x:v>0.462037037037037</x:v>
      </x:c>
      <x:c r="AL91" s="45" t="n">
        <x:v>0.512835875090777</x:v>
      </x:c>
      <x:c r="AM91" s="44" t="n">
        <x:v>0.538235294117647</x:v>
      </x:c>
    </x:row>
    <x:row r="92" ht="15" hidden="0" customHeight="1">
      <x:c r="A92" s="44" t="str">
        <x:v>139-001</x:v>
      </x:c>
      <x:c r="B92" s="44" t="str">
        <x:v>Khanpur Cave</x:v>
      </x:c>
      <x:c r="C92" s="44" t="n">
        <x:v>500</x:v>
      </x:c>
      <x:c r="D92" s="44" t="str">
        <x:v>E2014</x:v>
      </x:c>
      <x:c r="E92" s="44" t="n">
        <x:v>2014</x:v>
      </x:c>
      <x:c r="F92" s="44" t="n">
        <x:v>858</x:v>
      </x:c>
      <x:c r="G92" s="45" t="n">
        <x:v>0.3670114278793335</x:v>
      </x:c>
      <x:c r="H92" s="44" t="n">
        <x:v>0.21408432722091675</x:v>
      </x:c>
      <x:c r="I92" s="44" t="n">
        <x:v>0.5667889714241028</x:v>
      </x:c>
      <x:c r="J92" s="45" t="n">
        <x:v>-0.01335315965116024</x:v>
      </x:c>
      <x:c r="K92" s="44" t="n">
        <x:v>-0.20547965168952942</x:v>
      </x:c>
      <x:c r="L92" s="44" t="n">
        <x:v>0.13042178750038147</x:v>
      </x:c>
      <x:c r="M92" s="45" t="n">
        <x:v>-0.41688472032546997</x:v>
      </x:c>
      <x:c r="N92" s="44" t="n">
        <x:v>-0.45478135347366333</x:v>
      </x:c>
      <x:c r="O92" s="44" t="n">
        <x:v>-0.3433529734611511</x:v>
      </x:c>
      <x:c r="P92" s="45" t="n">
        <x:v>0.06266289949417114</x:v>
      </x:c>
      <x:c r="Q92" s="44" t="n">
        <x:v>-0.10803668946027756</x:v>
      </x:c>
      <x:c r="R92" s="44" t="n">
        <x:v>0.1762847602367401</x:v>
      </x:c>
      <x:c r="S92" s="44" t="n">
        <x:v>858</x:v>
      </x:c>
      <x:c r="T92" s="44" t="n">
        <x:v>0.16783216783216784</x:v>
      </x:c>
      <x:c r="U92" s="44" t="n">
        <x:v>0.14685314685314685</x:v>
      </x:c>
      <x:c r="V92" s="44" t="n">
        <x:v>0.2529137529137529</x:v>
      </x:c>
      <x:c r="W92" s="44" t="n">
        <x:v>0.14335664335664336</x:v>
      </x:c>
      <x:c r="X92" s="44" t="n">
        <x:v>0.289044289044289</x:v>
      </x:c>
      <x:c r="Y92" s="44" t="n">
        <x:v>0</x:v>
      </x:c>
      <x:c r="Z92" s="44" t="n">
        <x:v>0.7235294117647059</x:v>
      </x:c>
      <x:c r="AA92" s="45" t="n">
        <x:v>0.4294117647058823</x:v>
      </x:c>
      <x:c r="AB92" s="45" t="n">
        <x:v>0.7235294117647059</x:v>
      </x:c>
      <x:c r="AC92" s="45" t="n">
        <x:v>0.7941176470588235</x:v>
      </x:c>
      <x:c r="AD92" s="44" t="n">
        <x:v>0.9588235294117647</x:v>
      </x:c>
      <x:c r="AE92" s="44" t="n">
        <x:v>0.7235294117647059</x:v>
      </x:c>
      <x:c r="AF92" s="45" t="n">
        <x:v>0.5764705882352941</x:v>
      </x:c>
      <x:c r="AG92" s="45" t="n">
        <x:v>0.4411764705882353</x:v>
      </x:c>
      <x:c r="AH92" s="44" t="n">
        <x:v>0.6176470588235294</x:v>
      </x:c>
      <x:c r="AI92" s="44" t="n">
        <x:v>0.3235294117647059</x:v>
      </x:c>
      <x:c r="AJ92" s="45" t="n">
        <x:v>0.38235294117647056</x:v>
      </x:c>
      <x:c r="AK92" s="45" t="n">
        <x:v>0.4842592592592592</x:v>
      </x:c>
      <x:c r="AL92" s="45" t="n">
        <x:v>0.5006354393609295</x:v>
      </x:c>
      <x:c r="AM92" s="44" t="n">
        <x:v>0.5088235294117647</x:v>
      </x:c>
    </x:row>
    <x:row r="93" ht="15" hidden="0" customHeight="1">
      <x:c r="A93" s="44" t="str">
        <x:v>139-001</x:v>
      </x:c>
      <x:c r="B93" s="44" t="str">
        <x:v>Khanpur Cave</x:v>
      </x:c>
      <x:c r="C93" s="44" t="n">
        <x:v>500</x:v>
      </x:c>
      <x:c r="D93" s="44" t="str">
        <x:v>E2019</x:v>
      </x:c>
      <x:c r="E93" s="44" t="n">
        <x:v>2019</x:v>
      </x:c>
      <x:c r="F93" s="44" t="n">
        <x:v>802</x:v>
      </x:c>
      <x:c r="G93" s="45" t="n">
        <x:v>0.3714892566204071</x:v>
      </x:c>
      <x:c r="H93" s="44" t="n">
        <x:v>0.20482346415519714</x:v>
      </x:c>
      <x:c r="I93" s="44" t="n">
        <x:v>0.6024132966995239</x:v>
      </x:c>
      <x:c r="J93" s="45" t="n">
        <x:v>-0.02626914530992508</x:v>
      </x:c>
      <x:c r="K93" s="44" t="n">
        <x:v>-0.24329641461372375</x:v>
      </x:c>
      <x:c r="L93" s="44" t="n">
        <x:v>0.1327250897884369</x:v>
      </x:c>
      <x:c r="M93" s="45" t="n">
        <x:v>-0.4102442264556885</x:v>
      </x:c>
      <x:c r="N93" s="44" t="n">
        <x:v>-0.4514716565608978</x:v>
      </x:c>
      <x:c r="O93" s="44" t="n">
        <x:v>-0.3372710645198822</x:v>
      </x:c>
      <x:c r="P93" s="45" t="n">
        <x:v>0.05518334358930588</x:v>
      </x:c>
      <x:c r="Q93" s="44" t="n">
        <x:v>-0.1327444612979889</x:v>
      </x:c>
      <x:c r="R93" s="44" t="n">
        <x:v>0.1757107824087143</x:v>
      </x:c>
      <x:c r="S93" s="44" t="n">
        <x:v>802</x:v>
      </x:c>
      <x:c r="T93" s="44" t="n">
        <x:v>0.1633416458852868</x:v>
      </x:c>
      <x:c r="U93" s="44" t="n">
        <x:v>0.185785536159601</x:v>
      </x:c>
      <x:c r="V93" s="44" t="n">
        <x:v>0.2344139650872818</x:v>
      </x:c>
      <x:c r="W93" s="44" t="n">
        <x:v>0.17581047381546136</x:v>
      </x:c>
      <x:c r="X93" s="44" t="n">
        <x:v>0.24064837905236908</x:v>
      </x:c>
      <x:c r="Y93" s="44" t="n">
        <x:v>0</x:v>
      </x:c>
      <x:c r="Z93" s="44" t="n">
        <x:v>0.6529411764705882</x:v>
      </x:c>
      <x:c r="AA93" s="45" t="n">
        <x:v>0.2411764705882353</x:v>
      </x:c>
      <x:c r="AB93" s="45" t="n">
        <x:v>0.6058823529411764</x:v>
      </x:c>
      <x:c r="AC93" s="45" t="n">
        <x:v>0.7823529411764706</x:v>
      </x:c>
      <x:c r="AD93" s="44" t="n">
        <x:v>0.9941176470588236</x:v>
      </x:c>
      <x:c r="AE93" s="44" t="n">
        <x:v>0.6294117647058823</x:v>
      </x:c>
      <x:c r="AF93" s="45" t="n">
        <x:v>0.43529411764705883</x:v>
      </x:c>
      <x:c r="AG93" s="45" t="n">
        <x:v>0.4411764705882353</x:v>
      </x:c>
      <x:c r="AH93" s="44" t="n">
        <x:v>0.6176470588235294</x:v>
      </x:c>
      <x:c r="AI93" s="44" t="n">
        <x:v>0.3235294117647059</x:v>
      </x:c>
      <x:c r="AJ93" s="45" t="n">
        <x:v>0.38235294117647056</x:v>
      </x:c>
      <x:c r="AK93" s="45" t="n">
        <x:v>0.3138888888888889</x:v>
      </x:c>
      <x:c r="AL93" s="45" t="n">
        <x:v>0.3967864923747277</x:v>
      </x:c>
      <x:c r="AM93" s="44" t="n">
        <x:v>0.43823529411764706</x:v>
      </x:c>
    </x:row>
    <x:row r="94" ht="15" hidden="0" customHeight="1">
      <x:c r="A94" s="44" t="str">
        <x:v>139-001</x:v>
      </x:c>
      <x:c r="B94" s="44" t="str">
        <x:v>Khanpur Cave</x:v>
      </x:c>
      <x:c r="C94" s="44" t="n">
        <x:v>500</x:v>
      </x:c>
      <x:c r="D94" s="44" t="str">
        <x:v>E2024</x:v>
      </x:c>
      <x:c r="E94" s="44" t="n">
        <x:v>2024</x:v>
      </x:c>
      <x:c r="F94" s="44" t="n">
        <x:v>858</x:v>
      </x:c>
      <x:c r="G94" s="45" t="n">
        <x:v>0.43565067648887634</x:v>
      </x:c>
      <x:c r="H94" s="44" t="n">
        <x:v>0.23910361528396606</x:v>
      </x:c>
      <x:c r="I94" s="44" t="n">
        <x:v>0.6225318312644958</x:v>
      </x:c>
      <x:c r="J94" s="45" t="n">
        <x:v>-0.06765076518058777</x:v>
      </x:c>
      <x:c r="K94" s="44" t="n">
        <x:v>-0.22427058219909668</x:v>
      </x:c>
      <x:c r="L94" s="44" t="n">
        <x:v>0.09496702998876572</x:v>
      </x:c>
      <x:c r="M94" s="45" t="n">
        <x:v>-0.418300986289978</x:v>
      </x:c>
      <x:c r="N94" s="44" t="n">
        <x:v>-0.46743687987327576</x:v>
      </x:c>
      <x:c r="O94" s="44" t="n">
        <x:v>-0.34548914432525635</x:v>
      </x:c>
      <x:c r="P94" s="45" t="n">
        <x:v>0.014001548290252686</x:v>
      </x:c>
      <x:c r="Q94" s="44" t="n">
        <x:v>-0.13173703849315643</x:v>
      </x:c>
      <x:c r="R94" s="44" t="n">
        <x:v>0.14914685487747192</x:v>
      </x:c>
      <x:c r="S94" s="44" t="n">
        <x:v>858</x:v>
      </x:c>
      <x:c r="T94" s="44" t="n">
        <x:v>0.1794871794871795</x:v>
      </x:c>
      <x:c r="U94" s="44" t="n">
        <x:v>0.07692307692307693</x:v>
      </x:c>
      <x:c r="V94" s="44" t="n">
        <x:v>0.25874125874125875</x:v>
      </x:c>
      <x:c r="W94" s="44" t="n">
        <x:v>0.25990675990675993</x:v>
      </x:c>
      <x:c r="X94" s="44" t="n">
        <x:v>0.22494172494172493</x:v>
      </x:c>
      <x:c r="Y94" s="44" t="n">
        <x:v>0</x:v>
      </x:c>
      <x:c r="Z94" s="44" t="n">
        <x:v>0.3588235294117647</x:v>
      </x:c>
      <x:c r="AA94" s="45" t="n">
        <x:v>0.4764705882352941</x:v>
      </x:c>
      <x:c r="AB94" s="45" t="n">
        <x:v>0.37058823529411766</x:v>
      </x:c>
      <x:c r="AC94" s="45" t="n">
        <x:v>0.8294117647058824</x:v>
      </x:c>
      <x:c r="AD94" s="44" t="n">
        <x:v>0.9</x:v>
      </x:c>
      <x:c r="AE94" s="44" t="n">
        <x:v>0.3647058823529412</x:v>
      </x:c>
      <x:c r="AF94" s="45" t="n">
        <x:v>0.42058823529411765</x:v>
      </x:c>
      <x:c r="AG94" s="45" t="n">
        <x:v>0.4411764705882353</x:v>
      </x:c>
      <x:c r="AH94" s="44" t="n">
        <x:v>0.6176470588235294</x:v>
      </x:c>
      <x:c r="AI94" s="44" t="n">
        <x:v>0.3235294117647059</x:v>
      </x:c>
      <x:c r="AJ94" s="45" t="n">
        <x:v>0.38235294117647056</x:v>
      </x:c>
      <x:c r="AK94" s="45" t="n">
        <x:v>0.5259259259259259</x:v>
      </x:c>
      <x:c r="AL94" s="45" t="n">
        <x:v>0.46256354393609295</x:v>
      </x:c>
      <x:c r="AM94" s="44" t="n">
        <x:v>0.4308823529411765</x:v>
      </x:c>
    </x:row>
    <x:row r="95" ht="15" hidden="0" customHeight="1">
      <x:c r="A95" s="44" t="str">
        <x:v>139-003</x:v>
      </x:c>
      <x:c r="B95" s="44" t="str">
        <x:v>Bhir Mound</x:v>
      </x:c>
      <x:c r="C95" s="44" t="n">
        <x:v>500</x:v>
      </x:c>
      <x:c r="D95" s="44" t="str">
        <x:v>E2004</x:v>
      </x:c>
      <x:c r="E95" s="44" t="n">
        <x:v>2004</x:v>
      </x:c>
      <x:c r="F95" s="44" t="n">
        <x:v>874</x:v>
      </x:c>
      <x:c r="G95" s="45" t="n">
        <x:v>0.32192760705947876</x:v>
      </x:c>
      <x:c r="H95" s="44" t="n">
        <x:v>0.24152350425720215</x:v>
      </x:c>
      <x:c r="I95" s="44" t="n">
        <x:v>0.4381678104400635</x:v>
      </x:c>
      <x:c r="J95" s="45" t="n">
        <x:v>0.01365356333553791</x:v>
      </x:c>
      <x:c r="K95" s="44" t="n">
        <x:v>-0.08308599144220352</x:v>
      </x:c>
      <x:c r="L95" s="44" t="n">
        <x:v>0.05989830940961838</x:v>
      </x:c>
      <x:c r="M95" s="45" t="n">
        <x:v>-0.4013636112213135</x:v>
      </x:c>
      <x:c r="N95" s="44" t="n">
        <x:v>-0.44841569662094116</x:v>
      </x:c>
      <x:c r="O95" s="44" t="n">
        <x:v>-0.3559524416923523</x:v>
      </x:c>
      <x:c r="P95" s="45" t="n">
        <x:v>0.08484664559364319</x:v>
      </x:c>
      <x:c r="Q95" s="44" t="n">
        <x:v>-0.002479825634509325</x:v>
      </x:c>
      <x:c r="R95" s="44" t="n">
        <x:v>0.13050474226474762</x:v>
      </x:c>
      <x:c r="S95" s="44" t="n">
        <x:v>874</x:v>
      </x:c>
      <x:c r="T95" s="44" t="n">
        <x:v>0.28604118993135014</x:v>
      </x:c>
      <x:c r="U95" s="44" t="n">
        <x:v>0.032036613272311214</x:v>
      </x:c>
      <x:c r="V95" s="44" t="n">
        <x:v>0.5526315789473685</x:v>
      </x:c>
      <x:c r="W95" s="44" t="n">
        <x:v>0.021739130434782608</x:v>
      </x:c>
      <x:c r="X95" s="44" t="n">
        <x:v>0.10755148741418764</x:v>
      </x:c>
      <x:c r="Y95" s="44" t="n">
        <x:v>0</x:v>
      </x:c>
      <x:c r="Z95" s="44" t="n">
        <x:v>0.9352941176470588</x:v>
      </x:c>
      <x:c r="AA95" s="45" t="n">
        <x:v>0.12352941176470589</x:v>
      </x:c>
      <x:c r="AB95" s="45" t="n">
        <x:v>0.9</x:v>
      </x:c>
      <x:c r="AC95" s="45" t="n">
        <x:v>0.9235294117647059</x:v>
      </x:c>
      <x:c r="AD95" s="44" t="n">
        <x:v>0.7823529411764706</x:v>
      </x:c>
      <x:c r="AE95" s="44" t="n">
        <x:v>0.9176470588235295</x:v>
      </x:c>
      <x:c r="AF95" s="45" t="n">
        <x:v>0.5205882352941177</x:v>
      </x:c>
      <x:c r="AG95" s="45" t="n">
        <x:v>0.38235294117647056</x:v>
      </x:c>
      <x:c r="AH95" s="44" t="n">
        <x:v>0.2647058823529412</x:v>
      </x:c>
      <x:c r="AI95" s="44" t="n">
        <x:v>0.7352941176470589</x:v>
      </x:c>
      <x:c r="AJ95" s="45" t="n">
        <x:v>0.14705882352941177</x:v>
      </x:c>
      <x:c r="AK95" s="45" t="n">
        <x:v>0.5166666666666666</x:v>
      </x:c>
      <x:c r="AL95" s="45" t="n">
        <x:v>0.4732026143790849</x:v>
      </x:c>
      <x:c r="AM95" s="44" t="n">
        <x:v>0.4514705882352941</x:v>
      </x:c>
    </x:row>
    <x:row r="96" ht="15" hidden="0" customHeight="1">
      <x:c r="A96" s="44" t="str">
        <x:v>139-003</x:v>
      </x:c>
      <x:c r="B96" s="44" t="str">
        <x:v>Bhir Mound</x:v>
      </x:c>
      <x:c r="C96" s="44" t="n">
        <x:v>500</x:v>
      </x:c>
      <x:c r="D96" s="44" t="str">
        <x:v>E2009</x:v>
      </x:c>
      <x:c r="E96" s="44" t="n">
        <x:v>2009</x:v>
      </x:c>
      <x:c r="F96" s="44" t="n">
        <x:v>874</x:v>
      </x:c>
      <x:c r="G96" s="45" t="n">
        <x:v>0.30521446466445923</x:v>
      </x:c>
      <x:c r="H96" s="44" t="n">
        <x:v>0.227720245718956</x:v>
      </x:c>
      <x:c r="I96" s="44" t="n">
        <x:v>0.4194439947605133</x:v>
      </x:c>
      <x:c r="J96" s="45" t="n">
        <x:v>0.015325302258133888</x:v>
      </x:c>
      <x:c r="K96" s="44" t="n">
        <x:v>-0.06172780692577362</x:v>
      </x:c>
      <x:c r="L96" s="44" t="n">
        <x:v>0.0585535392165184</x:v>
      </x:c>
      <x:c r="M96" s="45" t="n">
        <x:v>-0.3919426202774048</x:v>
      </x:c>
      <x:c r="N96" s="44" t="n">
        <x:v>-0.4465413987636566</x:v>
      </x:c>
      <x:c r="O96" s="44" t="n">
        <x:v>-0.34000998735427856</x:v>
      </x:c>
      <x:c r="P96" s="45" t="n">
        <x:v>0.08525486290454865</x:v>
      </x:c>
      <x:c r="Q96" s="44" t="n">
        <x:v>0.01500106230378151</x:v>
      </x:c>
      <x:c r="R96" s="44" t="n">
        <x:v>0.12638399004936218</x:v>
      </x:c>
      <x:c r="S96" s="44" t="n">
        <x:v>874</x:v>
      </x:c>
      <x:c r="T96" s="44" t="n">
        <x:v>0.4290617848970252</x:v>
      </x:c>
      <x:c r="U96" s="44" t="n">
        <x:v>0.04004576659038902</x:v>
      </x:c>
      <x:c r="V96" s="44" t="n">
        <x:v>0.408466819221968</x:v>
      </x:c>
      <x:c r="W96" s="44" t="n">
        <x:v>0.005720823798627002</x:v>
      </x:c>
      <x:c r="X96" s="44" t="n">
        <x:v>0.11670480549199085</x:v>
      </x:c>
      <x:c r="Y96" s="44" t="n">
        <x:v>0</x:v>
      </x:c>
      <x:c r="Z96" s="44" t="n">
        <x:v>0.9705882352941176</x:v>
      </x:c>
      <x:c r="AA96" s="45" t="n">
        <x:v>0.041176470588235294</x:v>
      </x:c>
      <x:c r="AB96" s="45" t="n">
        <x:v>0.9352941176470588</x:v>
      </x:c>
      <x:c r="AC96" s="45" t="n">
        <x:v>0.9941176470588236</x:v>
      </x:c>
      <x:c r="AD96" s="44" t="n">
        <x:v>0.8411764705882353</x:v>
      </x:c>
      <x:c r="AE96" s="44" t="n">
        <x:v>0.9529411764705882</x:v>
      </x:c>
      <x:c r="AF96" s="45" t="n">
        <x:v>0.4970588235294117</x:v>
      </x:c>
      <x:c r="AG96" s="45" t="n">
        <x:v>0.38235294117647056</x:v>
      </x:c>
      <x:c r="AH96" s="44" t="n">
        <x:v>0.2647058823529412</x:v>
      </x:c>
      <x:c r="AI96" s="44" t="n">
        <x:v>0.7352941176470589</x:v>
      </x:c>
      <x:c r="AJ96" s="45" t="n">
        <x:v>0.14705882352941177</x:v>
      </x:c>
      <x:c r="AK96" s="45" t="n">
        <x:v>0.462037037037037</x:v>
      </x:c>
      <x:c r="AL96" s="45" t="n">
        <x:v>0.44714960058097314</x:v>
      </x:c>
      <x:c r="AM96" s="44" t="n">
        <x:v>0.43970588235294117</x:v>
      </x:c>
    </x:row>
    <x:row r="97" ht="15" hidden="0" customHeight="1">
      <x:c r="A97" s="44" t="str">
        <x:v>139-003</x:v>
      </x:c>
      <x:c r="B97" s="44" t="str">
        <x:v>Bhir Mound</x:v>
      </x:c>
      <x:c r="C97" s="44" t="n">
        <x:v>500</x:v>
      </x:c>
      <x:c r="D97" s="44" t="str">
        <x:v>E2014</x:v>
      </x:c>
      <x:c r="E97" s="44" t="n">
        <x:v>2014</x:v>
      </x:c>
      <x:c r="F97" s="44" t="n">
        <x:v>714</x:v>
      </x:c>
      <x:c r="G97" s="45" t="n">
        <x:v>0.3493131101131439</x:v>
      </x:c>
      <x:c r="H97" s="44" t="n">
        <x:v>0.2265886664390564</x:v>
      </x:c>
      <x:c r="I97" s="44" t="n">
        <x:v>0.532788097858429</x:v>
      </x:c>
      <x:c r="J97" s="45" t="n">
        <x:v>-0.007720716297626495</x:v>
      </x:c>
      <x:c r="K97" s="44" t="n">
        <x:v>-0.1128268614411354</x:v>
      </x:c>
      <x:c r="L97" s="44" t="n">
        <x:v>0.05127616226673126</x:v>
      </x:c>
      <x:c r="M97" s="45" t="n">
        <x:v>-0.39859217405319214</x:v>
      </x:c>
      <x:c r="N97" s="44" t="n">
        <x:v>-0.4776384234428406</x:v>
      </x:c>
      <x:c r="O97" s="44" t="n">
        <x:v>-0.3152628540992737</x:v>
      </x:c>
      <x:c r="P97" s="45" t="n">
        <x:v>0.06563915312290192</x:v>
      </x:c>
      <x:c r="Q97" s="44" t="n">
        <x:v>-0.03919326514005661</x:v>
      </x:c>
      <x:c r="R97" s="44" t="n">
        <x:v>0.11647988110780716</x:v>
      </x:c>
      <x:c r="S97" s="44" t="n">
        <x:v>714</x:v>
      </x:c>
      <x:c r="T97" s="44" t="n">
        <x:v>0.33613445378151263</x:v>
      </x:c>
      <x:c r="U97" s="44" t="n">
        <x:v>0.01680672268907563</x:v>
      </x:c>
      <x:c r="V97" s="44" t="n">
        <x:v>0.38795518207282914</x:v>
      </x:c>
      <x:c r="W97" s="44" t="n">
        <x:v>0.0742296918767507</x:v>
      </x:c>
      <x:c r="X97" s="44" t="n">
        <x:v>0.18487394957983194</x:v>
      </x:c>
      <x:c r="Y97" s="44" t="n">
        <x:v>0</x:v>
      </x:c>
      <x:c r="Z97" s="44" t="n">
        <x:v>0.8294117647058824</x:v>
      </x:c>
      <x:c r="AA97" s="45" t="n">
        <x:v>0.1</x:v>
      </x:c>
      <x:c r="AB97" s="45" t="n">
        <x:v>0.8176470588235294</x:v>
      </x:c>
      <x:c r="AC97" s="45" t="n">
        <x:v>0.9470588235294117</x:v>
      </x:c>
      <x:c r="AD97" s="44" t="n">
        <x:v>0.6647058823529411</x:v>
      </x:c>
      <x:c r="AE97" s="44" t="n">
        <x:v>0.8235294117647058</x:v>
      </x:c>
      <x:c r="AF97" s="45" t="n">
        <x:v>0.4617647058823529</x:v>
      </x:c>
      <x:c r="AG97" s="45" t="n">
        <x:v>0.38235294117647056</x:v>
      </x:c>
      <x:c r="AH97" s="44" t="n">
        <x:v>0.2647058823529412</x:v>
      </x:c>
      <x:c r="AI97" s="44" t="n">
        <x:v>0.7352941176470589</x:v>
      </x:c>
      <x:c r="AJ97" s="45" t="n">
        <x:v>0.14705882352941177</x:v>
      </x:c>
      <x:c r="AK97" s="45" t="n">
        <x:v>0.4842592592592592</x:v>
      </x:c>
      <x:c r="AL97" s="45" t="n">
        <x:v>0.44279230210602755</x:v>
      </x:c>
      <x:c r="AM97" s="44" t="n">
        <x:v>0.4220588235294117</x:v>
      </x:c>
    </x:row>
    <x:row r="98" ht="15" hidden="0" customHeight="1">
      <x:c r="A98" s="44" t="str">
        <x:v>139-003</x:v>
      </x:c>
      <x:c r="B98" s="44" t="str">
        <x:v>Bhir Mound</x:v>
      </x:c>
      <x:c r="C98" s="44" t="n">
        <x:v>500</x:v>
      </x:c>
      <x:c r="D98" s="44" t="str">
        <x:v>E2019</x:v>
      </x:c>
      <x:c r="E98" s="44" t="n">
        <x:v>2019</x:v>
      </x:c>
      <x:c r="F98" s="44" t="n">
        <x:v>490</x:v>
      </x:c>
      <x:c r="G98" s="45" t="n">
        <x:v>0.40658169984817505</x:v>
      </x:c>
      <x:c r="H98" s="44" t="n">
        <x:v>0.25013741850852966</x:v>
      </x:c>
      <x:c r="I98" s="44" t="n">
        <x:v>0.4999173879623413</x:v>
      </x:c>
      <x:c r="J98" s="45" t="n">
        <x:v>-0.027382222935557365</x:v>
      </x:c>
      <x:c r="K98" s="44" t="n">
        <x:v>-0.09436772018671036</x:v>
      </x:c>
      <x:c r="L98" s="44" t="n">
        <x:v>0.035163845866918564</x:v>
      </x:c>
      <x:c r="M98" s="45" t="n">
        <x:v>-0.4090679883956909</x:v>
      </x:c>
      <x:c r="N98" s="44" t="n">
        <x:v>-0.4658670723438263</x:v>
      </x:c>
      <x:c r="O98" s="44" t="n">
        <x:v>-0.3352832794189453</x:v>
      </x:c>
      <x:c r="P98" s="45" t="n">
        <x:v>0.047266557812690735</x:v>
      </x:c>
      <x:c r="Q98" s="44" t="n">
        <x:v>-0.014506673440337181</x:v>
      </x:c>
      <x:c r="R98" s="44" t="n">
        <x:v>0.10255458205938339</x:v>
      </x:c>
      <x:c r="S98" s="44" t="n">
        <x:v>490</x:v>
      </x:c>
      <x:c r="T98" s="44" t="n">
        <x:v>0.25510204081632654</x:v>
      </x:c>
      <x:c r="U98" s="44" t="n">
        <x:v>0.0163265306122449</x:v>
      </x:c>
      <x:c r="V98" s="44" t="n">
        <x:v>0.4306122448979592</x:v>
      </x:c>
      <x:c r="W98" s="44" t="n">
        <x:v>0.04897959183673469</x:v>
      </x:c>
      <x:c r="X98" s="44" t="n">
        <x:v>0.24897959183673468</x:v>
      </x:c>
      <x:c r="Y98" s="44" t="n">
        <x:v>0</x:v>
      </x:c>
      <x:c r="Z98" s="44" t="n">
        <x:v>0.4647058823529412</x:v>
      </x:c>
      <x:c r="AA98" s="45" t="n">
        <x:v>0.21764705882352942</x:v>
      </x:c>
      <x:c r="AB98" s="45" t="n">
        <x:v>0.5941176470588235</x:v>
      </x:c>
      <x:c r="AC98" s="45" t="n">
        <x:v>0.9</x:v>
      </x:c>
      <x:c r="AD98" s="44" t="n">
        <x:v>0.6529411764705882</x:v>
      </x:c>
      <x:c r="AE98" s="44" t="n">
        <x:v>0.5294117647058824</x:v>
      </x:c>
      <x:c r="AF98" s="45" t="n">
        <x:v>0.3735294117647059</x:v>
      </x:c>
      <x:c r="AG98" s="45" t="n">
        <x:v>0.38235294117647056</x:v>
      </x:c>
      <x:c r="AH98" s="44" t="n">
        <x:v>0.2647058823529412</x:v>
      </x:c>
      <x:c r="AI98" s="44" t="n">
        <x:v>0.7352941176470589</x:v>
      </x:c>
      <x:c r="AJ98" s="45" t="n">
        <x:v>0.14705882352941177</x:v>
      </x:c>
      <x:c r="AK98" s="45" t="n">
        <x:v>0.3138888888888889</x:v>
      </x:c>
      <x:c r="AL98" s="45" t="n">
        <x:v>0.3565904139433551</x:v>
      </x:c>
      <x:c r="AM98" s="44" t="n">
        <x:v>0.3779411764705882</x:v>
      </x:c>
    </x:row>
    <x:row r="99" ht="15" hidden="0" customHeight="1">
      <x:c r="A99" s="44" t="str">
        <x:v>139-003</x:v>
      </x:c>
      <x:c r="B99" s="44" t="str">
        <x:v>Bhir Mound</x:v>
      </x:c>
      <x:c r="C99" s="44" t="n">
        <x:v>500</x:v>
      </x:c>
      <x:c r="D99" s="44" t="str">
        <x:v>E2024</x:v>
      </x:c>
      <x:c r="E99" s="44" t="n">
        <x:v>2024</x:v>
      </x:c>
      <x:c r="F99" s="44" t="n">
        <x:v>738</x:v>
      </x:c>
      <x:c r="G99" s="45" t="n">
        <x:v>0.3906523585319519</x:v>
      </x:c>
      <x:c r="H99" s="44" t="n">
        <x:v>0.23325379192829132</x:v>
      </x:c>
      <x:c r="I99" s="44" t="n">
        <x:v>0.5562387704849243</x:v>
      </x:c>
      <x:c r="J99" s="45" t="n">
        <x:v>-0.032577358186244965</x:v>
      </x:c>
      <x:c r="K99" s="44" t="n">
        <x:v>-0.14184263348579407</x:v>
      </x:c>
      <x:c r="L99" s="44" t="n">
        <x:v>0.03132204711437225</x:v>
      </x:c>
      <x:c r="M99" s="45" t="n">
        <x:v>-0.3925777077674866</x:v>
      </x:c>
      <x:c r="N99" s="44" t="n">
        <x:v>-0.45878836512565613</x:v>
      </x:c>
      <x:c r="O99" s="44" t="n">
        <x:v>-0.301077276468277</x:v>
      </x:c>
      <x:c r="P99" s="45" t="n">
        <x:v>0.0424882248044014</x:v>
      </x:c>
      <x:c r="Q99" s="44" t="n">
        <x:v>-0.06334240734577179</x:v>
      </x:c>
      <x:c r="R99" s="44" t="n">
        <x:v>0.09841222316026688</x:v>
      </x:c>
      <x:c r="S99" s="44" t="n">
        <x:v>738</x:v>
      </x:c>
      <x:c r="T99" s="44" t="n">
        <x:v>0.4078590785907859</x:v>
      </x:c>
      <x:c r="U99" s="44" t="n">
        <x:v>0</x:v>
      </x:c>
      <x:c r="V99" s="44" t="n">
        <x:v>0.3130081300813008</x:v>
      </x:c>
      <x:c r="W99" s="44" t="n">
        <x:v>0.12872628726287264</x:v>
      </x:c>
      <x:c r="X99" s="44" t="n">
        <x:v>0.15040650406504066</x:v>
      </x:c>
      <x:c r="Y99" s="44" t="n">
        <x:v>0</x:v>
      </x:c>
      <x:c r="Z99" s="44" t="n">
        <x:v>0.5352941176470588</x:v>
      </x:c>
      <x:c r="AA99" s="45" t="n">
        <x:v>0.052941176470588235</x:v>
      </x:c>
      <x:c r="AB99" s="45" t="n">
        <x:v>0.5470588235294118</x:v>
      </x:c>
      <x:c r="AC99" s="45" t="n">
        <x:v>0.9705882352941176</x:v>
      </x:c>
      <x:c r="AD99" s="44" t="n">
        <x:v>0.15294117647058825</x:v>
      </x:c>
      <x:c r="AE99" s="44" t="n">
        <x:v>0.5411764705882354</x:v>
      </x:c>
      <x:c r="AF99" s="45" t="n">
        <x:v>0.2970588235294118</x:v>
      </x:c>
      <x:c r="AG99" s="45" t="n">
        <x:v>0.38235294117647056</x:v>
      </x:c>
      <x:c r="AH99" s="44" t="n">
        <x:v>0.2647058823529412</x:v>
      </x:c>
      <x:c r="AI99" s="44" t="n">
        <x:v>0.7352941176470589</x:v>
      </x:c>
      <x:c r="AJ99" s="45" t="n">
        <x:v>0.14705882352941177</x:v>
      </x:c>
      <x:c r="AK99" s="45" t="n">
        <x:v>0.5259259259259259</x:v>
      </x:c>
      <x:c r="AL99" s="45" t="n">
        <x:v>0.40177923021060274</x:v>
      </x:c>
      <x:c r="AM99" s="44" t="n">
        <x:v>0.3397058823529412</x:v>
      </x:c>
    </x:row>
    <x:row r="100" ht="15" hidden="0" customHeight="1">
      <x:c r="A100" s="44" t="str">
        <x:v>139-004</x:v>
      </x:c>
      <x:c r="B100" s="44" t="str">
        <x:v>Sirkap (fortified city)</x:v>
      </x:c>
      <x:c r="C100" s="44" t="n">
        <x:v>500</x:v>
      </x:c>
      <x:c r="D100" s="44" t="str">
        <x:v>E2004</x:v>
      </x:c>
      <x:c r="E100" s="44" t="n">
        <x:v>2004</x:v>
      </x:c>
      <x:c r="F100" s="44" t="n">
        <x:v>874</x:v>
      </x:c>
      <x:c r="G100" s="45" t="n">
        <x:v>0.3071971833705902</x:v>
      </x:c>
      <x:c r="H100" s="44" t="n">
        <x:v>0.24651634693145752</x:v>
      </x:c>
      <x:c r="I100" s="44" t="n">
        <x:v>0.4299054443836212</x:v>
      </x:c>
      <x:c r="J100" s="45" t="n">
        <x:v>0.031463272869586945</x:v>
      </x:c>
      <x:c r="K100" s="44" t="n">
        <x:v>-0.06094041466712952</x:v>
      </x:c>
      <x:c r="L100" s="44" t="n">
        <x:v>0.07174310833215714</x:v>
      </x:c>
      <x:c r="M100" s="45" t="n">
        <x:v>-0.41849589347839355</x:v>
      </x:c>
      <x:c r="N100" s="44" t="n">
        <x:v>-0.4505082964897156</x:v>
      </x:c>
      <x:c r="O100" s="44" t="n">
        <x:v>-0.39455458521842957</x:v>
      </x:c>
      <x:c r="P100" s="45" t="n">
        <x:v>0.10707443207502365</x:v>
      </x:c>
      <x:c r="Q100" s="44" t="n">
        <x:v>0.020339341834187508</x:v>
      </x:c>
      <x:c r="R100" s="44" t="n">
        <x:v>0.14591585099697113</x:v>
      </x:c>
      <x:c r="S100" s="44" t="n">
        <x:v>874</x:v>
      </x:c>
      <x:c r="T100" s="44" t="n">
        <x:v>0.03546910755148741</x:v>
      </x:c>
      <x:c r="U100" s="44" t="n">
        <x:v>0.05148741418764302</x:v>
      </x:c>
      <x:c r="V100" s="44" t="n">
        <x:v>0.7528604118993135</x:v>
      </x:c>
      <x:c r="W100" s="44" t="n">
        <x:v>0.008009153318077803</x:v>
      </x:c>
      <x:c r="X100" s="44" t="n">
        <x:v>0.15217391304347827</x:v>
      </x:c>
      <x:c r="Y100" s="44" t="n">
        <x:v>0</x:v>
      </x:c>
      <x:c r="Z100" s="44" t="n">
        <x:v>0.9588235294117647</x:v>
      </x:c>
      <x:c r="AA100" s="45" t="n">
        <x:v>0.48823529411764705</x:v>
      </x:c>
      <x:c r="AB100" s="45" t="n">
        <x:v>0.9705882352941176</x:v>
      </x:c>
      <x:c r="AC100" s="45" t="n">
        <x:v>0.34705882352941175</x:v>
      </x:c>
      <x:c r="AD100" s="44" t="n">
        <x:v>0.8647058823529412</x:v>
      </x:c>
      <x:c r="AE100" s="44" t="n">
        <x:v>0.9647058823529412</x:v>
      </x:c>
      <x:c r="AF100" s="45" t="n">
        <x:v>0.7264705882352941</x:v>
      </x:c>
      <x:c r="AG100" s="45" t="n">
        <x:v>0.3627450980392157</x:v>
      </x:c>
      <x:c r="AH100" s="44" t="n">
        <x:v>0.3235294117647059</x:v>
      </x:c>
      <x:c r="AI100" s="44" t="n">
        <x:v>0.5588235294117647</x:v>
      </x:c>
      <x:c r="AJ100" s="45" t="n">
        <x:v>0.20588235294117646</x:v>
      </x:c>
      <x:c r="AK100" s="45" t="n">
        <x:v>0.5166666666666666</x:v>
      </x:c>
      <x:c r="AL100" s="45" t="n">
        <x:v>0.5352941176470588</x:v>
      </x:c>
      <x:c r="AM100" s="44" t="n">
        <x:v>0.5446078431372549</x:v>
      </x:c>
    </x:row>
    <x:row r="101" ht="15" hidden="0" customHeight="1">
      <x:c r="A101" s="44" t="str">
        <x:v>139-004</x:v>
      </x:c>
      <x:c r="B101" s="44" t="str">
        <x:v>Sirkap (fortified city)</x:v>
      </x:c>
      <x:c r="C101" s="44" t="n">
        <x:v>500</x:v>
      </x:c>
      <x:c r="D101" s="44" t="str">
        <x:v>E2009</x:v>
      </x:c>
      <x:c r="E101" s="44" t="n">
        <x:v>2009</x:v>
      </x:c>
      <x:c r="F101" s="44" t="n">
        <x:v>874</x:v>
      </x:c>
      <x:c r="G101" s="45" t="n">
        <x:v>0.2934733033180237</x:v>
      </x:c>
      <x:c r="H101" s="44" t="n">
        <x:v>0.23061291873455048</x:v>
      </x:c>
      <x:c r="I101" s="44" t="n">
        <x:v>0.4101165235042572</x:v>
      </x:c>
      <x:c r="J101" s="45" t="n">
        <x:v>0.03697779029607773</x:v>
      </x:c>
      <x:c r="K101" s="44" t="n">
        <x:v>-0.048387255519628525</x:v>
      </x:c>
      <x:c r="L101" s="44" t="n">
        <x:v>0.07981649041175842</x:v>
      </x:c>
      <x:c r="M101" s="45" t="n">
        <x:v>-0.4139089584350586</x:v>
      </x:c>
      <x:c r="N101" s="44" t="n">
        <x:v>-0.4464661777019501</x:v>
      </x:c>
      <x:c r="O101" s="44" t="n">
        <x:v>-0.3839755952358246</x:v>
      </x:c>
      <x:c r="P101" s="45" t="n">
        <x:v>0.11087089776992798</x:v>
      </x:c>
      <x:c r="Q101" s="44" t="n">
        <x:v>0.025613410398364067</x:v>
      </x:c>
      <x:c r="R101" s="44" t="n">
        <x:v>0.1488417387008667</x:v>
      </x:c>
      <x:c r="S101" s="44" t="n">
        <x:v>874</x:v>
      </x:c>
      <x:c r="T101" s="44" t="n">
        <x:v>0.08009153318077804</x:v>
      </x:c>
      <x:c r="U101" s="44" t="n">
        <x:v>0.15217391304347827</x:v>
      </x:c>
      <x:c r="V101" s="44" t="n">
        <x:v>0.6224256292906178</x:v>
      </x:c>
      <x:c r="W101" s="44" t="n">
        <x:v>0</x:v>
      </x:c>
      <x:c r="X101" s="44" t="n">
        <x:v>0.14530892448512586</x:v>
      </x:c>
      <x:c r="Y101" s="44" t="n">
        <x:v>0</x:v>
      </x:c>
      <x:c r="Z101" s="44" t="n">
        <x:v>0.9941176470588236</x:v>
      </x:c>
      <x:c r="AA101" s="45" t="n">
        <x:v>0.34705882352941175</x:v>
      </x:c>
      <x:c r="AB101" s="45" t="n">
        <x:v>0.9941176470588236</x:v>
      </x:c>
      <x:c r="AC101" s="45" t="n">
        <x:v>0.5823529411764706</x:v>
      </x:c>
      <x:c r="AD101" s="44" t="n">
        <x:v>0.9705882352941176</x:v>
      </x:c>
      <x:c r="AE101" s="44" t="n">
        <x:v>0.9941176470588236</x:v>
      </x:c>
      <x:c r="AF101" s="45" t="n">
        <x:v>0.6705882352941177</x:v>
      </x:c>
      <x:c r="AG101" s="45" t="n">
        <x:v>0.3627450980392157</x:v>
      </x:c>
      <x:c r="AH101" s="44" t="n">
        <x:v>0.3235294117647059</x:v>
      </x:c>
      <x:c r="AI101" s="44" t="n">
        <x:v>0.5588235294117647</x:v>
      </x:c>
      <x:c r="AJ101" s="45" t="n">
        <x:v>0.20588235294117646</x:v>
      </x:c>
      <x:c r="AK101" s="45" t="n">
        <x:v>0.462037037037037</x:v>
      </x:c>
      <x:c r="AL101" s="45" t="n">
        <x:v>0.49845679012345684</x:v>
      </x:c>
      <x:c r="AM101" s="44" t="n">
        <x:v>0.5166666666666667</x:v>
      </x:c>
    </x:row>
    <x:row r="102" ht="15" hidden="0" customHeight="1">
      <x:c r="A102" s="44" t="str">
        <x:v>139-004</x:v>
      </x:c>
      <x:c r="B102" s="44" t="str">
        <x:v>Sirkap (fortified city)</x:v>
      </x:c>
      <x:c r="C102" s="44" t="n">
        <x:v>500</x:v>
      </x:c>
      <x:c r="D102" s="44" t="str">
        <x:v>E2014</x:v>
      </x:c>
      <x:c r="E102" s="44" t="n">
        <x:v>2014</x:v>
      </x:c>
      <x:c r="F102" s="44" t="n">
        <x:v>874</x:v>
      </x:c>
      <x:c r="G102" s="45" t="n">
        <x:v>0.32698580622673035</x:v>
      </x:c>
      <x:c r="H102" s="44" t="n">
        <x:v>0.233514666557312</x:v>
      </x:c>
      <x:c r="I102" s="44" t="n">
        <x:v>0.48015183210372925</x:v>
      </x:c>
      <x:c r="J102" s="45" t="n">
        <x:v>0.014055118896067142</x:v>
      </x:c>
      <x:c r="K102" s="44" t="n">
        <x:v>-0.08203468471765518</x:v>
      </x:c>
      <x:c r="L102" s="44" t="n">
        <x:v>0.07471466064453125</x:v>
      </x:c>
      <x:c r="M102" s="45" t="n">
        <x:v>-0.39802026748657227</x:v>
      </x:c>
      <x:c r="N102" s="44" t="n">
        <x:v>-0.45503512024879456</x:v>
      </x:c>
      <x:c r="O102" s="44" t="n">
        <x:v>-0.37149888277053833</x:v>
      </x:c>
      <x:c r="P102" s="45" t="n">
        <x:v>0.08463667333126068</x:v>
      </x:c>
      <x:c r="Q102" s="44" t="n">
        <x:v>-0.009104294702410698</x:v>
      </x:c>
      <x:c r="R102" s="44" t="n">
        <x:v>0.13588538765907288</x:v>
      </x:c>
      <x:c r="S102" s="44" t="n">
        <x:v>874</x:v>
      </x:c>
      <x:c r="T102" s="44" t="n">
        <x:v>0.15903890160183065</x:v>
      </x:c>
      <x:c r="U102" s="44" t="n">
        <x:v>0.03546910755148741</x:v>
      </x:c>
      <x:c r="V102" s="44" t="n">
        <x:v>0.6189931350114416</x:v>
      </x:c>
      <x:c r="W102" s="44" t="n">
        <x:v>0.04691075514874142</x:v>
      </x:c>
      <x:c r="X102" s="44" t="n">
        <x:v>0.13958810068649885</x:v>
      </x:c>
      <x:c r="Y102" s="44" t="n">
        <x:v>0</x:v>
      </x:c>
      <x:c r="Z102" s="44" t="n">
        <x:v>0.9117647058823529</x:v>
      </x:c>
      <x:c r="AA102" s="45" t="n">
        <x:v>0.08823529411764706</x:v>
      </x:c>
      <x:c r="AB102" s="45" t="n">
        <x:v>0.9235294117647059</x:v>
      </x:c>
      <x:c r="AC102" s="45" t="n">
        <x:v>0.7705882352941177</x:v>
      </x:c>
      <x:c r="AD102" s="44" t="n">
        <x:v>0.7941176470588235</x:v>
      </x:c>
      <x:c r="AE102" s="44" t="n">
        <x:v>0.9176470588235295</x:v>
      </x:c>
      <x:c r="AF102" s="45" t="n">
        <x:v>0.5029411764705882</x:v>
      </x:c>
      <x:c r="AG102" s="45" t="n">
        <x:v>0.3627450980392157</x:v>
      </x:c>
      <x:c r="AH102" s="44" t="n">
        <x:v>0.3235294117647059</x:v>
      </x:c>
      <x:c r="AI102" s="44" t="n">
        <x:v>0.5588235294117647</x:v>
      </x:c>
      <x:c r="AJ102" s="45" t="n">
        <x:v>0.20588235294117646</x:v>
      </x:c>
      <x:c r="AK102" s="45" t="n">
        <x:v>0.4842592592592592</x:v>
      </x:c>
      <x:c r="AL102" s="45" t="n">
        <x:v>0.4499818445896877</x:v>
      </x:c>
      <x:c r="AM102" s="44" t="n">
        <x:v>0.432843137254902</x:v>
      </x:c>
    </x:row>
    <x:row r="103" ht="15" hidden="0" customHeight="1">
      <x:c r="A103" s="44" t="str">
        <x:v>139-004</x:v>
      </x:c>
      <x:c r="B103" s="44" t="str">
        <x:v>Sirkap (fortified city)</x:v>
      </x:c>
      <x:c r="C103" s="44" t="n">
        <x:v>500</x:v>
      </x:c>
      <x:c r="D103" s="44" t="str">
        <x:v>E2019</x:v>
      </x:c>
      <x:c r="E103" s="44" t="n">
        <x:v>2019</x:v>
      </x:c>
      <x:c r="F103" s="44" t="n">
        <x:v>874</x:v>
      </x:c>
      <x:c r="G103" s="45" t="n">
        <x:v>0.3708495497703552</x:v>
      </x:c>
      <x:c r="H103" s="44" t="n">
        <x:v>0.26866376399993896</x:v>
      </x:c>
      <x:c r="I103" s="44" t="n">
        <x:v>0.4964819848537445</x:v>
      </x:c>
      <x:c r="J103" s="45" t="n">
        <x:v>-0.009724866598844528</x:v>
      </x:c>
      <x:c r="K103" s="44" t="n">
        <x:v>-0.08598002046346664</x:v>
      </x:c>
      <x:c r="L103" s="44" t="n">
        <x:v>0.051840998232364655</x:v>
      </x:c>
      <x:c r="M103" s="45" t="n">
        <x:v>-0.40857893228530884</x:v>
      </x:c>
      <x:c r="N103" s="44" t="n">
        <x:v>-0.4593711197376251</x:v>
      </x:c>
      <x:c r="O103" s="44" t="n">
        <x:v>-0.37764251232147217</x:v>
      </x:c>
      <x:c r="P103" s="45" t="n">
        <x:v>0.06294068694114685</x:v>
      </x:c>
      <x:c r="Q103" s="44" t="n">
        <x:v>-0.010282911360263824</x:v>
      </x:c>
      <x:c r="R103" s="44" t="n">
        <x:v>0.11709143966436386</x:v>
      </x:c>
      <x:c r="S103" s="44" t="n">
        <x:v>874</x:v>
      </x:c>
      <x:c r="T103" s="44" t="n">
        <x:v>0.08924485125858124</x:v>
      </x:c>
      <x:c r="U103" s="44" t="n">
        <x:v>0.010297482837528604</x:v>
      </x:c>
      <x:c r="V103" s="44" t="n">
        <x:v>0.7185354691075515</x:v>
      </x:c>
      <x:c r="W103" s="44" t="n">
        <x:v>0.05491990846681922</x:v>
      </x:c>
      <x:c r="X103" s="44" t="n">
        <x:v>0.12700228832951946</x:v>
      </x:c>
      <x:c r="Y103" s="44" t="n">
        <x:v>0</x:v>
      </x:c>
      <x:c r="Z103" s="44" t="n">
        <x:v>0.6764705882352942</x:v>
      </x:c>
      <x:c r="AA103" s="45" t="n">
        <x:v>0.19411764705882353</x:v>
      </x:c>
      <x:c r="AB103" s="45" t="n">
        <x:v>0.8058823529411765</x:v>
      </x:c>
      <x:c r="AC103" s="45" t="n">
        <x:v>0.6176470588235294</x:v>
      </x:c>
      <x:c r="AD103" s="44" t="n">
        <x:v>0.5</x:v>
      </x:c>
      <x:c r="AE103" s="44" t="n">
        <x:v>0.7411764705882353</x:v>
      </x:c>
      <x:c r="AF103" s="45" t="n">
        <x:v>0.4676470588235294</x:v>
      </x:c>
      <x:c r="AG103" s="45" t="n">
        <x:v>0.3627450980392157</x:v>
      </x:c>
      <x:c r="AH103" s="44" t="n">
        <x:v>0.3235294117647059</x:v>
      </x:c>
      <x:c r="AI103" s="44" t="n">
        <x:v>0.5588235294117647</x:v>
      </x:c>
      <x:c r="AJ103" s="45" t="n">
        <x:v>0.20588235294117646</x:v>
      </x:c>
      <x:c r="AK103" s="45" t="n">
        <x:v>0.3138888888888889</x:v>
      </x:c>
      <x:c r="AL103" s="45" t="n">
        <x:v>0.3814270152505446</x:v>
      </x:c>
      <x:c r="AM103" s="44" t="n">
        <x:v>0.4151960784313725</x:v>
      </x:c>
    </x:row>
    <x:row r="104" ht="15" hidden="0" customHeight="1">
      <x:c r="A104" s="44" t="str">
        <x:v>139-004</x:v>
      </x:c>
      <x:c r="B104" s="44" t="str">
        <x:v>Sirkap (fortified city)</x:v>
      </x:c>
      <x:c r="C104" s="44" t="n">
        <x:v>500</x:v>
      </x:c>
      <x:c r="D104" s="44" t="str">
        <x:v>E2024</x:v>
      </x:c>
      <x:c r="E104" s="44" t="n">
        <x:v>2024</x:v>
      </x:c>
      <x:c r="F104" s="44" t="n">
        <x:v>874</x:v>
      </x:c>
      <x:c r="G104" s="45" t="n">
        <x:v>0.3939923942089081</x:v>
      </x:c>
      <x:c r="H104" s="44" t="n">
        <x:v>0.26544395089149475</x:v>
      </x:c>
      <x:c r="I104" s="44" t="n">
        <x:v>0.5629622340202332</x:v>
      </x:c>
      <x:c r="J104" s="45" t="n">
        <x:v>-0.021446455270051956</x:v>
      </x:c>
      <x:c r="K104" s="44" t="n">
        <x:v>-0.13737498223781586</x:v>
      </x:c>
      <x:c r="L104" s="44" t="n">
        <x:v>0.06413453817367554</x:v>
      </x:c>
      <x:c r="M104" s="45" t="n">
        <x:v>-0.42321592569351196</x:v>
      </x:c>
      <x:c r="N104" s="44" t="n">
        <x:v>-0.4630444347858429</x:v>
      </x:c>
      <x:c r="O104" s="44" t="n">
        <x:v>-0.3905603885650635</x:v>
      </x:c>
      <x:c r="P104" s="45" t="n">
        <x:v>0.051769912242889404</x:v>
      </x:c>
      <x:c r="Q104" s="44" t="n">
        <x:v>-0.059128209948539734</x:v>
      </x:c>
      <x:c r="R104" s="44" t="n">
        <x:v>0.12379001826047897</x:v>
      </x:c>
      <x:c r="S104" s="44" t="n">
        <x:v>874</x:v>
      </x:c>
      <x:c r="T104" s="44" t="n">
        <x:v>0.04004576659038902</x:v>
      </x:c>
      <x:c r="U104" s="44" t="n">
        <x:v>0.014874141876430207</x:v>
      </x:c>
      <x:c r="V104" s="44" t="n">
        <x:v>0.6350114416475973</x:v>
      </x:c>
      <x:c r="W104" s="44" t="n">
        <x:v>0.14530892448512586</x:v>
      </x:c>
      <x:c r="X104" s="44" t="n">
        <x:v>0.16475972540045766</x:v>
      </x:c>
      <x:c r="Y104" s="44" t="n">
        <x:v>0</x:v>
      </x:c>
      <x:c r="Z104" s="44" t="n">
        <x:v>0.5</x:v>
      </x:c>
      <x:c r="AA104" s="45" t="n">
        <x:v>0.6176470588235294</x:v>
      </x:c>
      <x:c r="AB104" s="45" t="n">
        <x:v>0.6529411764705882</x:v>
      </x:c>
      <x:c r="AC104" s="45" t="n">
        <x:v>0.37058823529411766</x:v>
      </x:c>
      <x:c r="AD104" s="44" t="n">
        <x:v>0.6058823529411764</x:v>
      </x:c>
      <x:c r="AE104" s="44" t="n">
        <x:v>0.5764705882352941</x:v>
      </x:c>
      <x:c r="AF104" s="45" t="n">
        <x:v>0.5970588235294118</x:v>
      </x:c>
      <x:c r="AG104" s="45" t="n">
        <x:v>0.3627450980392157</x:v>
      </x:c>
      <x:c r="AH104" s="44" t="n">
        <x:v>0.3235294117647059</x:v>
      </x:c>
      <x:c r="AI104" s="44" t="n">
        <x:v>0.5588235294117647</x:v>
      </x:c>
      <x:c r="AJ104" s="45" t="n">
        <x:v>0.20588235294117646</x:v>
      </x:c>
      <x:c r="AK104" s="45" t="n">
        <x:v>0.5259259259259259</x:v>
      </x:c>
      <x:c r="AL104" s="45" t="n">
        <x:v>0.49524328249818445</x:v>
      </x:c>
      <x:c r="AM104" s="44" t="n">
        <x:v>0.4799019607843137</x:v>
      </x:c>
    </x:row>
    <x:row r="105" ht="15" hidden="0" customHeight="1">
      <x:c r="A105" s="44" t="str">
        <x:v>139-005</x:v>
      </x:c>
      <x:c r="B105" s="44" t="str">
        <x:v>Sirsukh (fortified ruined city)</x:v>
      </x:c>
      <x:c r="C105" s="44" t="n">
        <x:v>500</x:v>
      </x:c>
      <x:c r="D105" s="44" t="str">
        <x:v>E2004</x:v>
      </x:c>
      <x:c r="E105" s="44" t="n">
        <x:v>2004</x:v>
      </x:c>
      <x:c r="F105" s="44" t="n">
        <x:v>871</x:v>
      </x:c>
      <x:c r="G105" s="45" t="n">
        <x:v>0.4442678987979889</x:v>
      </x:c>
      <x:c r="H105" s="44" t="n">
        <x:v>0.36763879656791687</x:v>
      </x:c>
      <x:c r="I105" s="44" t="n">
        <x:v>0.5037376284599304</x:v>
      </x:c>
      <x:c r="J105" s="45" t="n">
        <x:v>-0.07073955982923508</x:v>
      </x:c>
      <x:c r="K105" s="44" t="n">
        <x:v>-0.12642572820186615</x:v>
      </x:c>
      <x:c r="L105" s="44" t="n">
        <x:v>0.002506424207240343</x:v>
      </x:c>
      <x:c r="M105" s="45" t="n">
        <x:v>-0.42624449729919434</x:v>
      </x:c>
      <x:c r="N105" s="44" t="n">
        <x:v>-0.45253750681877136</x:v>
      </x:c>
      <x:c r="O105" s="44" t="n">
        <x:v>-0.40080225467681885</x:v>
      </x:c>
      <x:c r="P105" s="45" t="n">
        <x:v>0.011237835511565208</x:v>
      </x:c>
      <x:c r="Q105" s="44" t="n">
        <x:v>-0.04129452630877495</x:v>
      </x:c>
      <x:c r="R105" s="44" t="n">
        <x:v>0.07536312192678452</x:v>
      </x:c>
      <x:c r="S105" s="44" t="n">
        <x:v>871</x:v>
      </x:c>
      <x:c r="T105" s="44" t="n">
        <x:v>0.016073478760045924</x:v>
      </x:c>
      <x:c r="U105" s="44" t="n">
        <x:v>0.002296211251435132</x:v>
      </x:c>
      <x:c r="V105" s="44" t="n">
        <x:v>0.5671641791044776</x:v>
      </x:c>
      <x:c r="W105" s="44" t="n">
        <x:v>0.1446613088404133</x:v>
      </x:c>
      <x:c r="X105" s="44" t="n">
        <x:v>0.269804822043628</x:v>
      </x:c>
      <x:c r="Y105" s="44" t="n">
        <x:v>0</x:v>
      </x:c>
      <x:c r="Z105" s="44" t="n">
        <x:v>0.3235294117647059</x:v>
      </x:c>
      <x:c r="AA105" s="45" t="n">
        <x:v>0.711764705882353</x:v>
      </x:c>
      <x:c r="AB105" s="45" t="n">
        <x:v>0.34705882352941175</x:v>
      </x:c>
      <x:c r="AC105" s="45" t="n">
        <x:v>0.21764705882352942</x:v>
      </x:c>
      <x:c r="AD105" s="44" t="n">
        <x:v>0.4176470588235294</x:v>
      </x:c>
      <x:c r="AE105" s="44" t="n">
        <x:v>0.33529411764705885</x:v>
      </x:c>
      <x:c r="AF105" s="45" t="n">
        <x:v>0.5235294117647059</x:v>
      </x:c>
      <x:c r="AG105" s="45" t="n">
        <x:v>0.4411764705882353</x:v>
      </x:c>
      <x:c r="AH105" s="44" t="n">
        <x:v>0.14705882352941177</x:v>
      </x:c>
      <x:c r="AI105" s="44" t="n">
        <x:v>0.9117647058823529</x:v>
      </x:c>
      <x:c r="AJ105" s="45" t="n">
        <x:v>0.2647058823529412</x:v>
      </x:c>
      <x:c r="AK105" s="45" t="n">
        <x:v>0.5166666666666666</x:v>
      </x:c>
      <x:c r="AL105" s="45" t="n">
        <x:v>0.49379084967320264</x:v>
      </x:c>
      <x:c r="AM105" s="44" t="n">
        <x:v>0.4823529411764706</x:v>
      </x:c>
    </x:row>
    <x:row r="106" ht="15" hidden="0" customHeight="1">
      <x:c r="A106" s="44" t="str">
        <x:v>139-005</x:v>
      </x:c>
      <x:c r="B106" s="44" t="str">
        <x:v>Sirsukh (fortified ruined city)</x:v>
      </x:c>
      <x:c r="C106" s="44" t="n">
        <x:v>500</x:v>
      </x:c>
      <x:c r="D106" s="44" t="str">
        <x:v>E2009</x:v>
      </x:c>
      <x:c r="E106" s="44" t="n">
        <x:v>2009</x:v>
      </x:c>
      <x:c r="F106" s="44" t="n">
        <x:v>871</x:v>
      </x:c>
      <x:c r="G106" s="45" t="n">
        <x:v>0.43891119956970215</x:v>
      </x:c>
      <x:c r="H106" s="44" t="n">
        <x:v>0.35266631841659546</x:v>
      </x:c>
      <x:c r="I106" s="44" t="n">
        <x:v>0.5105093717575073</x:v>
      </x:c>
      <x:c r="J106" s="45" t="n">
        <x:v>-0.07096643000841141</x:v>
      </x:c>
      <x:c r="K106" s="44" t="n">
        <x:v>-0.12749919295310974</x:v>
      </x:c>
      <x:c r="L106" s="44" t="n">
        <x:v>0.0004076913755852729</x:v>
      </x:c>
      <x:c r="M106" s="45" t="n">
        <x:v>-0.4234320819377899</x:v>
      </x:c>
      <x:c r="N106" s="44" t="n">
        <x:v>-0.447692334651947</x:v>
      </x:c>
      <x:c r="O106" s="44" t="n">
        <x:v>-0.3969932496547699</x:v>
      </x:c>
      <x:c r="P106" s="45" t="n">
        <x:v>0.006774836219847202</x:v>
      </x:c>
      <x:c r="Q106" s="44" t="n">
        <x:v>-0.050361763685941696</x:v>
      </x:c>
      <x:c r="R106" s="44" t="n">
        <x:v>0.07733333855867386</x:v>
      </x:c>
      <x:c r="S106" s="44" t="n">
        <x:v>871</x:v>
      </x:c>
      <x:c r="T106" s="44" t="n">
        <x:v>0.006888633754305396</x:v>
      </x:c>
      <x:c r="U106" s="44" t="n">
        <x:v>0</x:v>
      </x:c>
      <x:c r="V106" s="44" t="n">
        <x:v>0.7428243398392652</x:v>
      </x:c>
      <x:c r="W106" s="44" t="n">
        <x:v>0.1377726750861079</x:v>
      </x:c>
      <x:c r="X106" s="44" t="n">
        <x:v>0.11251435132032148</x:v>
      </x:c>
      <x:c r="Y106" s="44" t="n">
        <x:v>0</x:v>
      </x:c>
      <x:c r="Z106" s="44" t="n">
        <x:v>0.34705882352941175</x:v>
      </x:c>
      <x:c r="AA106" s="45" t="n">
        <x:v>0.6294117647058823</x:v>
      </x:c>
      <x:c r="AB106" s="45" t="n">
        <x:v>0.3235294117647059</x:v>
      </x:c>
      <x:c r="AC106" s="45" t="n">
        <x:v>0.14705882352941177</x:v>
      </x:c>
      <x:c r="AD106" s="44" t="n">
        <x:v>0.15294117647058825</x:v>
      </x:c>
      <x:c r="AE106" s="44" t="n">
        <x:v>0.33529411764705885</x:v>
      </x:c>
      <x:c r="AF106" s="45" t="n">
        <x:v>0.4823529411764706</x:v>
      </x:c>
      <x:c r="AG106" s="45" t="n">
        <x:v>0.4411764705882353</x:v>
      </x:c>
      <x:c r="AH106" s="44" t="n">
        <x:v>0.14705882352941177</x:v>
      </x:c>
      <x:c r="AI106" s="44" t="n">
        <x:v>0.9117647058823529</x:v>
      </x:c>
      <x:c r="AJ106" s="45" t="n">
        <x:v>0.2647058823529412</x:v>
      </x:c>
      <x:c r="AK106" s="45" t="n">
        <x:v>0.462037037037037</x:v>
      </x:c>
      <x:c r="AL106" s="45" t="n">
        <x:v>0.4618554829339143</x:v>
      </x:c>
      <x:c r="AM106" s="44" t="n">
        <x:v>0.46176470588235297</x:v>
      </x:c>
    </x:row>
    <x:row r="107" ht="15" hidden="0" customHeight="1">
      <x:c r="A107" s="44" t="str">
        <x:v>139-005</x:v>
      </x:c>
      <x:c r="B107" s="44" t="str">
        <x:v>Sirsukh (fortified ruined city)</x:v>
      </x:c>
      <x:c r="C107" s="44" t="n">
        <x:v>500</x:v>
      </x:c>
      <x:c r="D107" s="44" t="str">
        <x:v>E2014</x:v>
      </x:c>
      <x:c r="E107" s="44" t="n">
        <x:v>2014</x:v>
      </x:c>
      <x:c r="F107" s="44" t="n">
        <x:v>871</x:v>
      </x:c>
      <x:c r="G107" s="45" t="n">
        <x:v>0.5007065534591675</x:v>
      </x:c>
      <x:c r="H107" s="44" t="n">
        <x:v>0.357169508934021</x:v>
      </x:c>
      <x:c r="I107" s="44" t="n">
        <x:v>0.6632691025733948</x:v>
      </x:c>
      <x:c r="J107" s="45" t="n">
        <x:v>-0.10429651290178299</x:v>
      </x:c>
      <x:c r="K107" s="44" t="n">
        <x:v>-0.25114908814430237</x:v>
      </x:c>
      <x:c r="L107" s="44" t="n">
        <x:v>0.003891881089657545</x:v>
      </x:c>
      <x:c r="M107" s="45" t="n">
        <x:v>-0.42644065618515015</x:v>
      </x:c>
      <x:c r="N107" s="44" t="n">
        <x:v>-0.45353782176971436</x:v>
      </x:c>
      <x:c r="O107" s="44" t="n">
        <x:v>-0.398886501789093</x:v>
      </x:c>
      <x:c r="P107" s="45" t="n">
        <x:v>-0.022569170221686363</x:v>
      </x:c>
      <x:c r="Q107" s="44" t="n">
        <x:v>-0.16960178315639496</x:v>
      </x:c>
      <x:c r="R107" s="44" t="n">
        <x:v>0.07518287003040314</x:v>
      </x:c>
      <x:c r="S107" s="44" t="n">
        <x:v>871</x:v>
      </x:c>
      <x:c r="T107" s="44" t="n">
        <x:v>0.040183696900114814</x:v>
      </x:c>
      <x:c r="U107" s="44" t="n">
        <x:v>0.011481056257175661</x:v>
      </x:c>
      <x:c r="V107" s="44" t="n">
        <x:v>0.35361653272101035</x:v>
      </x:c>
      <x:c r="W107" s="44" t="n">
        <x:v>0.48794489092996557</x:v>
      </x:c>
      <x:c r="X107" s="44" t="n">
        <x:v>0.10677382319173363</x:v>
      </x:c>
      <x:c r="Y107" s="44" t="n">
        <x:v>0</x:v>
      </x:c>
      <x:c r="Z107" s="44" t="n">
        <x:v>0.22941176470588234</x:v>
      </x:c>
      <x:c r="AA107" s="45" t="n">
        <x:v>0.7352941176470589</x:v>
      </x:c>
      <x:c r="AB107" s="45" t="n">
        <x:v>0.2647058823529412</x:v>
      </x:c>
      <x:c r="AC107" s="45" t="n">
        <x:v>0.38235294117647056</x:v>
      </x:c>
      <x:c r="AD107" s="44" t="n">
        <x:v>0.5529411764705883</x:v>
      </x:c>
      <x:c r="AE107" s="44" t="n">
        <x:v>0.24705882352941178</x:v>
      </x:c>
      <x:c r="AF107" s="45" t="n">
        <x:v>0.4911764705882353</x:v>
      </x:c>
      <x:c r="AG107" s="45" t="n">
        <x:v>0.4411764705882353</x:v>
      </x:c>
      <x:c r="AH107" s="44" t="n">
        <x:v>0.14705882352941177</x:v>
      </x:c>
      <x:c r="AI107" s="44" t="n">
        <x:v>0.9117647058823529</x:v>
      </x:c>
      <x:c r="AJ107" s="45" t="n">
        <x:v>0.2647058823529412</x:v>
      </x:c>
      <x:c r="AK107" s="45" t="n">
        <x:v>0.4842592592592592</x:v>
      </x:c>
      <x:c r="AL107" s="45" t="n">
        <x:v>0.4722040668119099</x:v>
      </x:c>
      <x:c r="AM107" s="44" t="n">
        <x:v>0.4661764705882353</x:v>
      </x:c>
    </x:row>
    <x:row r="108" ht="15" hidden="0" customHeight="1">
      <x:c r="A108" s="44" t="str">
        <x:v>139-005</x:v>
      </x:c>
      <x:c r="B108" s="44" t="str">
        <x:v>Sirsukh (fortified ruined city)</x:v>
      </x:c>
      <x:c r="C108" s="44" t="n">
        <x:v>500</x:v>
      </x:c>
      <x:c r="D108" s="44" t="str">
        <x:v>E2019</x:v>
      </x:c>
      <x:c r="E108" s="44" t="n">
        <x:v>2019</x:v>
      </x:c>
      <x:c r="F108" s="44" t="n">
        <x:v>871</x:v>
      </x:c>
      <x:c r="G108" s="45" t="n">
        <x:v>0.49385181069374084</x:v>
      </x:c>
      <x:c r="H108" s="44" t="n">
        <x:v>0.3771010935306549</x:v>
      </x:c>
      <x:c r="I108" s="44" t="n">
        <x:v>0.6027339696884155</x:v>
      </x:c>
      <x:c r="J108" s="45" t="n">
        <x:v>-0.1250942349433899</x:v>
      </x:c>
      <x:c r="K108" s="44" t="n">
        <x:v>-0.22435642778873444</x:v>
      </x:c>
      <x:c r="L108" s="44" t="n">
        <x:v>-0.021880339831113815</x:v>
      </x:c>
      <x:c r="M108" s="45" t="n">
        <x:v>-0.4146023094654083</x:v>
      </x:c>
      <x:c r="N108" s="44" t="n">
        <x:v>-0.4385441839694977</x:v>
      </x:c>
      <x:c r="O108" s="44" t="n">
        <x:v>-0.3833426237106323</x:v>
      </x:c>
      <x:c r="P108" s="45" t="n">
        <x:v>-0.03413219004869461</x:v>
      </x:c>
      <x:c r="Q108" s="44" t="n">
        <x:v>-0.130431666970253</x:v>
      </x:c>
      <x:c r="R108" s="44" t="n">
        <x:v>0.049527913331985474</x:v>
      </x:c>
      <x:c r="S108" s="44" t="n">
        <x:v>871</x:v>
      </x:c>
      <x:c r="T108" s="44" t="n">
        <x:v>0.05166475315729047</x:v>
      </x:c>
      <x:c r="U108" s="44" t="n">
        <x:v>0</x:v>
      </x:c>
      <x:c r="V108" s="44" t="n">
        <x:v>0.5120551090700345</x:v>
      </x:c>
      <x:c r="W108" s="44" t="n">
        <x:v>0.399540757749713</x:v>
      </x:c>
      <x:c r="X108" s="44" t="n">
        <x:v>0.03673938002296211</x:v>
      </x:c>
      <x:c r="Y108" s="44" t="n">
        <x:v>0</x:v>
      </x:c>
      <x:c r="Z108" s="44" t="n">
        <x:v>0.2411764705882353</x:v>
      </x:c>
      <x:c r="AA108" s="45" t="n">
        <x:v>0.38235294117647056</x:v>
      </x:c>
      <x:c r="AB108" s="45" t="n">
        <x:v>0.18235294117647058</x:v>
      </x:c>
      <x:c r="AC108" s="45" t="n">
        <x:v>0.4411764705882353</x:v>
      </x:c>
      <x:c r="AD108" s="44" t="n">
        <x:v>0.15294117647058825</x:v>
      </x:c>
      <x:c r="AE108" s="44" t="n">
        <x:v>0.21176470588235294</x:v>
      </x:c>
      <x:c r="AF108" s="45" t="n">
        <x:v>0.29705882352941176</x:v>
      </x:c>
      <x:c r="AG108" s="45" t="n">
        <x:v>0.4411764705882353</x:v>
      </x:c>
      <x:c r="AH108" s="44" t="n">
        <x:v>0.14705882352941177</x:v>
      </x:c>
      <x:c r="AI108" s="44" t="n">
        <x:v>0.9117647058823529</x:v>
      </x:c>
      <x:c r="AJ108" s="45" t="n">
        <x:v>0.2647058823529412</x:v>
      </x:c>
      <x:c r="AK108" s="45" t="n">
        <x:v>0.3138888888888889</x:v>
      </x:c>
      <x:c r="AL108" s="45" t="n">
        <x:v>0.35070806100217866</x:v>
      </x:c>
      <x:c r="AM108" s="44" t="n">
        <x:v>0.36911764705882355</x:v>
      </x:c>
    </x:row>
    <x:row r="109" ht="15" hidden="0" customHeight="1">
      <x:c r="A109" s="44" t="str">
        <x:v>139-005</x:v>
      </x:c>
      <x:c r="B109" s="44" t="str">
        <x:v>Sirsukh (fortified ruined city)</x:v>
      </x:c>
      <x:c r="C109" s="44" t="n">
        <x:v>500</x:v>
      </x:c>
      <x:c r="D109" s="44" t="str">
        <x:v>E2024</x:v>
      </x:c>
      <x:c r="E109" s="44" t="n">
        <x:v>2024</x:v>
      </x:c>
      <x:c r="F109" s="44" t="n">
        <x:v>871</x:v>
      </x:c>
      <x:c r="G109" s="45" t="n">
        <x:v>0.5078336000442505</x:v>
      </x:c>
      <x:c r="H109" s="44" t="n">
        <x:v>0.39715275168418884</x:v>
      </x:c>
      <x:c r="I109" s="44" t="n">
        <x:v>0.5896350741386414</x:v>
      </x:c>
      <x:c r="J109" s="45" t="n">
        <x:v>-0.10624739527702332</x:v>
      </x:c>
      <x:c r="K109" s="44" t="n">
        <x:v>-0.17242729663848877</x:v>
      </x:c>
      <x:c r="L109" s="44" t="n">
        <x:v>-0.03036664053797722</x:v>
      </x:c>
      <x:c r="M109" s="45" t="n">
        <x:v>-0.4389353096485138</x:v>
      </x:c>
      <x:c r="N109" s="44" t="n">
        <x:v>-0.4677242636680603</x:v>
      </x:c>
      <x:c r="O109" s="44" t="n">
        <x:v>-0.39745965600013733</x:v>
      </x:c>
      <x:c r="P109" s="45" t="n">
        <x:v>-0.026964588090777397</x:v>
      </x:c>
      <x:c r="Q109" s="44" t="n">
        <x:v>-0.09163074195384979</x:v>
      </x:c>
      <x:c r="R109" s="44" t="n">
        <x:v>0.044682424515485764</x:v>
      </x:c>
      <x:c r="S109" s="44" t="n">
        <x:v>871</x:v>
      </x:c>
      <x:c r="T109" s="44" t="n">
        <x:v>0.03214695752009185</x:v>
      </x:c>
      <x:c r="U109" s="44" t="n">
        <x:v>0</x:v>
      </x:c>
      <x:c r="V109" s="44" t="n">
        <x:v>0.4397244546498278</x:v>
      </x:c>
      <x:c r="W109" s="44" t="n">
        <x:v>0.34902411021814006</x:v>
      </x:c>
      <x:c r="X109" s="44" t="n">
        <x:v>0.1791044776119403</x:v>
      </x:c>
      <x:c r="Y109" s="44" t="n">
        <x:v>0</x:v>
      </x:c>
      <x:c r="Z109" s="44" t="n">
        <x:v>0.19411764705882353</x:v>
      </x:c>
      <x:c r="AA109" s="45" t="n">
        <x:v>0.9</x:v>
      </x:c>
      <x:c r="AB109" s="45" t="n">
        <x:v>0.2529411764705882</x:v>
      </x:c>
      <x:c r="AC109" s="45" t="n">
        <x:v>0.3235294117647059</x:v>
      </x:c>
      <x:c r="AD109" s="44" t="n">
        <x:v>0.15294117647058825</x:v>
      </x:c>
      <x:c r="AE109" s="44" t="n">
        <x:v>0.22352941176470587</x:v>
      </x:c>
      <x:c r="AF109" s="45" t="n">
        <x:v>0.5617647058823529</x:v>
      </x:c>
      <x:c r="AG109" s="45" t="n">
        <x:v>0.4411764705882353</x:v>
      </x:c>
      <x:c r="AH109" s="44" t="n">
        <x:v>0.14705882352941177</x:v>
      </x:c>
      <x:c r="AI109" s="44" t="n">
        <x:v>0.9117647058823529</x:v>
      </x:c>
      <x:c r="AJ109" s="45" t="n">
        <x:v>0.2647058823529412</x:v>
      </x:c>
      <x:c r="AK109" s="45" t="n">
        <x:v>0.5259259259259259</x:v>
      </x:c>
      <x:c r="AL109" s="45" t="n">
        <x:v>0.5096223674655047</x:v>
      </x:c>
      <x:c r="AM109" s="44" t="n">
        <x:v>0.5014705882352941</x:v>
      </x:c>
    </x:row>
    <x:row r="110" ht="15" hidden="0" customHeight="1">
      <x:c r="A110" s="44" t="str">
        <x:v>139-006</x:v>
      </x:c>
      <x:c r="B110" s="44" t="str">
        <x:v>Dharmarajika stupa and monastery</x:v>
      </x:c>
      <x:c r="C110" s="44" t="n">
        <x:v>500</x:v>
      </x:c>
      <x:c r="D110" s="44" t="str">
        <x:v>E2004</x:v>
      </x:c>
      <x:c r="E110" s="44" t="n">
        <x:v>2004</x:v>
      </x:c>
      <x:c r="F110" s="44" t="n">
        <x:v>870</x:v>
      </x:c>
      <x:c r="G110" s="45" t="n">
        <x:v>0.34703415632247925</x:v>
      </x:c>
      <x:c r="H110" s="44" t="n">
        <x:v>0.25799596309661865</x:v>
      </x:c>
      <x:c r="I110" s="44" t="n">
        <x:v>0.4487192928791046</x:v>
      </x:c>
      <x:c r="J110" s="45" t="n">
        <x:v>0.010938392952084541</x:v>
      </x:c>
      <x:c r="K110" s="44" t="n">
        <x:v>-0.06373469531536102</x:v>
      </x:c>
      <x:c r="L110" s="44" t="n">
        <x:v>0.05700107663869858</x:v>
      </x:c>
      <x:c r="M110" s="45" t="n">
        <x:v>-0.4325818419456482</x:v>
      </x:c>
      <x:c r="N110" s="44" t="n">
        <x:v>-0.4673892855644226</x:v>
      </x:c>
      <x:c r="O110" s="44" t="n">
        <x:v>-0.4031907916069031</x:v>
      </x:c>
      <x:c r="P110" s="45" t="n">
        <x:v>0.0897708535194397</x:v>
      </x:c>
      <x:c r="Q110" s="44" t="n">
        <x:v>0.015399472787976265</x:v>
      </x:c>
      <x:c r="R110" s="44" t="n">
        <x:v>0.13739818334579468</x:v>
      </x:c>
      <x:c r="S110" s="44" t="n">
        <x:v>870</x:v>
      </x:c>
      <x:c r="T110" s="44" t="n">
        <x:v>0.004597701149425287</x:v>
      </x:c>
      <x:c r="U110" s="44" t="n">
        <x:v>0.05172413793103448</x:v>
      </x:c>
      <x:c r="V110" s="44" t="n">
        <x:v>0.6310344827586207</x:v>
      </x:c>
      <x:c r="W110" s="44" t="n">
        <x:v>0.014942528735632184</x:v>
      </x:c>
      <x:c r="X110" s="44" t="n">
        <x:v>0.29770114942528736</x:v>
      </x:c>
      <x:c r="Y110" s="44" t="n">
        <x:v>0</x:v>
      </x:c>
      <x:c r="Z110" s="44" t="n">
        <x:v>0.8411764705882353</x:v>
      </x:c>
      <x:c r="AA110" s="45" t="n">
        <x:v>0.8411764705882353</x:v>
      </x:c>
      <x:c r="AB110" s="45" t="n">
        <x:v>0.888235294117647</x:v>
      </x:c>
      <x:c r="AC110" s="45" t="n">
        <x:v>0.12352941176470589</x:v>
      </x:c>
      <x:c r="AD110" s="44" t="n">
        <x:v>0.8764705882352941</x:v>
      </x:c>
      <x:c r="AE110" s="44" t="n">
        <x:v>0.8647058823529412</x:v>
      </x:c>
      <x:c r="AF110" s="45" t="n">
        <x:v>0.8529411764705883</x:v>
      </x:c>
      <x:c r="AG110" s="45" t="n">
        <x:v>0.5196078431372549</x:v>
      </x:c>
      <x:c r="AH110" s="44" t="n">
        <x:v>0.38235294117647056</x:v>
      </x:c>
      <x:c r="AI110" s="44" t="n">
        <x:v>0.6176470588235294</x:v>
      </x:c>
      <x:c r="AJ110" s="45" t="n">
        <x:v>0.5588235294117647</x:v>
      </x:c>
      <x:c r="AK110" s="45" t="n">
        <x:v>0.5166666666666666</x:v>
      </x:c>
      <x:c r="AL110" s="45" t="n">
        <x:v>0.6297385620915033</x:v>
      </x:c>
      <x:c r="AM110" s="44" t="n">
        <x:v>0.6862745098039216</x:v>
      </x:c>
    </x:row>
    <x:row r="111" ht="15" hidden="0" customHeight="1">
      <x:c r="A111" s="44" t="str">
        <x:v>139-006</x:v>
      </x:c>
      <x:c r="B111" s="44" t="str">
        <x:v>Dharmarajika stupa and monastery</x:v>
      </x:c>
      <x:c r="C111" s="44" t="n">
        <x:v>500</x:v>
      </x:c>
      <x:c r="D111" s="44" t="str">
        <x:v>E2009</x:v>
      </x:c>
      <x:c r="E111" s="44" t="n">
        <x:v>2009</x:v>
      </x:c>
      <x:c r="F111" s="44" t="n">
        <x:v>870</x:v>
      </x:c>
      <x:c r="G111" s="45" t="n">
        <x:v>0.3236190974712372</x:v>
      </x:c>
      <x:c r="H111" s="44" t="n">
        <x:v>0.24948230385780334</x:v>
      </x:c>
      <x:c r="I111" s="44" t="n">
        <x:v>0.4250986576080322</x:v>
      </x:c>
      <x:c r="J111" s="45" t="n">
        <x:v>0.019611265510320663</x:v>
      </x:c>
      <x:c r="K111" s="44" t="n">
        <x:v>-0.05347226560115814</x:v>
      </x:c>
      <x:c r="L111" s="44" t="n">
        <x:v>0.057988185435533524</x:v>
      </x:c>
      <x:c r="M111" s="45" t="n">
        <x:v>-0.4167252779006958</x:v>
      </x:c>
      <x:c r="N111" s="44" t="n">
        <x:v>-0.46473997831344604</x:v>
      </x:c>
      <x:c r="O111" s="44" t="n">
        <x:v>-0.39322012662887573</x:v>
      </x:c>
      <x:c r="P111" s="45" t="n">
        <x:v>0.09583175182342529</x:v>
      </x:c>
      <x:c r="Q111" s="44" t="n">
        <x:v>0.0225034411996603</x:v>
      </x:c>
      <x:c r="R111" s="44" t="n">
        <x:v>0.13362102210521698</x:v>
      </x:c>
      <x:c r="S111" s="44" t="n">
        <x:v>870</x:v>
      </x:c>
      <x:c r="T111" s="44" t="n">
        <x:v>0.010344827586206896</x:v>
      </x:c>
      <x:c r="U111" s="44" t="n">
        <x:v>0.11494252873563218</x:v>
      </x:c>
      <x:c r="V111" s="44" t="n">
        <x:v>0.5551724137931034</x:v>
      </x:c>
      <x:c r="W111" s="44" t="n">
        <x:v>0.0034482758620689655</x:v>
      </x:c>
      <x:c r="X111" s="44" t="n">
        <x:v>0.3160919540229885</x:v>
      </x:c>
      <x:c r="Y111" s="44" t="n">
        <x:v>0</x:v>
      </x:c>
      <x:c r="Z111" s="44" t="n">
        <x:v>0.9235294117647059</x:v>
      </x:c>
      <x:c r="AA111" s="45" t="n">
        <x:v>0.4176470588235294</x:v>
      </x:c>
      <x:c r="AB111" s="45" t="n">
        <x:v>0.9470588235294117</x:v>
      </x:c>
      <x:c r="AC111" s="45" t="n">
        <x:v>0.1588235294117647</x:v>
      </x:c>
      <x:c r="AD111" s="44" t="n">
        <x:v>0.9470588235294117</x:v>
      </x:c>
      <x:c r="AE111" s="44" t="n">
        <x:v>0.9352941176470588</x:v>
      </x:c>
      <x:c r="AF111" s="45" t="n">
        <x:v>0.6764705882352942</x:v>
      </x:c>
      <x:c r="AG111" s="45" t="n">
        <x:v>0.5196078431372549</x:v>
      </x:c>
      <x:c r="AH111" s="44" t="n">
        <x:v>0.38235294117647056</x:v>
      </x:c>
      <x:c r="AI111" s="44" t="n">
        <x:v>0.6176470588235294</x:v>
      </x:c>
      <x:c r="AJ111" s="45" t="n">
        <x:v>0.5588235294117647</x:v>
      </x:c>
      <x:c r="AK111" s="45" t="n">
        <x:v>0.462037037037037</x:v>
      </x:c>
      <x:c r="AL111" s="45" t="n">
        <x:v>0.5527051561365287</x:v>
      </x:c>
      <x:c r="AM111" s="44" t="n">
        <x:v>0.5980392156862746</x:v>
      </x:c>
    </x:row>
    <x:row r="112" ht="15" hidden="0" customHeight="1">
      <x:c r="A112" s="44" t="str">
        <x:v>139-006</x:v>
      </x:c>
      <x:c r="B112" s="44" t="str">
        <x:v>Dharmarajika stupa and monastery</x:v>
      </x:c>
      <x:c r="C112" s="44" t="n">
        <x:v>500</x:v>
      </x:c>
      <x:c r="D112" s="44" t="str">
        <x:v>E2014</x:v>
      </x:c>
      <x:c r="E112" s="44" t="n">
        <x:v>2014</x:v>
      </x:c>
      <x:c r="F112" s="44" t="n">
        <x:v>870</x:v>
      </x:c>
      <x:c r="G112" s="45" t="n">
        <x:v>0.3520100712776184</x:v>
      </x:c>
      <x:c r="H112" s="44" t="n">
        <x:v>0.2551327645778656</x:v>
      </x:c>
      <x:c r="I112" s="44" t="n">
        <x:v>0.5068665742874146</x:v>
      </x:c>
      <x:c r="J112" s="45" t="n">
        <x:v>0.005857118405401707</x:v>
      </x:c>
      <x:c r="K112" s="44" t="n">
        <x:v>-0.0914367288351059</x:v>
      </x:c>
      <x:c r="L112" s="44" t="n">
        <x:v>0.05470360070466995</x:v>
      </x:c>
      <x:c r="M112" s="45" t="n">
        <x:v>-0.41605931520462036</x:v>
      </x:c>
      <x:c r="N112" s="44" t="n">
        <x:v>-0.4701472222805023</x:v>
      </x:c>
      <x:c r="O112" s="44" t="n">
        <x:v>-0.36989960074424744</x:v>
      </x:c>
      <x:c r="P112" s="45" t="n">
        <x:v>0.07924195379018784</x:v>
      </x:c>
      <x:c r="Q112" s="44" t="n">
        <x:v>-0.01789248175919056</x:v>
      </x:c>
      <x:c r="R112" s="44" t="n">
        <x:v>0.12227426469326019</x:v>
      </x:c>
      <x:c r="S112" s="44" t="n">
        <x:v>870</x:v>
      </x:c>
      <x:c r="T112" s="44" t="n">
        <x:v>0.05632183908045977</x:v>
      </x:c>
      <x:c r="U112" s="44" t="n">
        <x:v>0.04597701149425287</x:v>
      </x:c>
      <x:c r="V112" s="44" t="n">
        <x:v>0.5735632183908046</x:v>
      </x:c>
      <x:c r="W112" s="44" t="n">
        <x:v>0.07586206896551724</x:v>
      </x:c>
      <x:c r="X112" s="44" t="n">
        <x:v>0.2482758620689655</x:v>
      </x:c>
      <x:c r="Y112" s="44" t="n">
        <x:v>0</x:v>
      </x:c>
      <x:c r="Z112" s="44" t="n">
        <x:v>0.8176470588235294</x:v>
      </x:c>
      <x:c r="AA112" s="45" t="n">
        <x:v>0.40588235294117647</x:v>
      </x:c>
      <x:c r="AB112" s="45" t="n">
        <x:v>0.8647058823529412</x:v>
      </x:c>
      <x:c r="AC112" s="45" t="n">
        <x:v>0.4764705882352941</x:v>
      </x:c>
      <x:c r="AD112" s="44" t="n">
        <x:v>0.8529411764705882</x:v>
      </x:c>
      <x:c r="AE112" s="44" t="n">
        <x:v>0.8411764705882353</x:v>
      </x:c>
      <x:c r="AF112" s="45" t="n">
        <x:v>0.6235294117647059</x:v>
      </x:c>
      <x:c r="AG112" s="45" t="n">
        <x:v>0.5196078431372549</x:v>
      </x:c>
      <x:c r="AH112" s="44" t="n">
        <x:v>0.38235294117647056</x:v>
      </x:c>
      <x:c r="AI112" s="44" t="n">
        <x:v>0.6176470588235294</x:v>
      </x:c>
      <x:c r="AJ112" s="45" t="n">
        <x:v>0.5588235294117647</x:v>
      </x:c>
      <x:c r="AK112" s="45" t="n">
        <x:v>0.4842592592592592</x:v>
      </x:c>
      <x:c r="AL112" s="45" t="n">
        <x:v>0.5424655047204067</x:v>
      </x:c>
      <x:c r="AM112" s="44" t="n">
        <x:v>0.5715686274509804</x:v>
      </x:c>
    </x:row>
    <x:row r="113" ht="15" hidden="0" customHeight="1">
      <x:c r="A113" s="44" t="str">
        <x:v>139-006</x:v>
      </x:c>
      <x:c r="B113" s="44" t="str">
        <x:v>Dharmarajika stupa and monastery</x:v>
      </x:c>
      <x:c r="C113" s="44" t="n">
        <x:v>500</x:v>
      </x:c>
      <x:c r="D113" s="44" t="str">
        <x:v>E2019</x:v>
      </x:c>
      <x:c r="E113" s="44" t="n">
        <x:v>2019</x:v>
      </x:c>
      <x:c r="F113" s="44" t="n">
        <x:v>870</x:v>
      </x:c>
      <x:c r="G113" s="45" t="n">
        <x:v>0.40947529673576355</x:v>
      </x:c>
      <x:c r="H113" s="44" t="n">
        <x:v>0.3051263093948364</x:v>
      </x:c>
      <x:c r="I113" s="44" t="n">
        <x:v>0.5258417129516602</x:v>
      </x:c>
      <x:c r="J113" s="45" t="n">
        <x:v>-0.028590627014636993</x:v>
      </x:c>
      <x:c r="K113" s="44" t="n">
        <x:v>-0.11429775506258011</x:v>
      </x:c>
      <x:c r="L113" s="44" t="n">
        <x:v>0.02148955501616001</x:v>
      </x:c>
      <x:c r="M113" s="45" t="n">
        <x:v>-0.4240792393684387</x:v>
      </x:c>
      <x:c r="N113" s="44" t="n">
        <x:v>-0.4721989333629608</x:v>
      </x:c>
      <x:c r="O113" s="44" t="n">
        <x:v>-0.3816685676574707</x:v>
      </x:c>
      <x:c r="P113" s="45" t="n">
        <x:v>0.046445704996585846</x:v>
      </x:c>
      <x:c r="Q113" s="44" t="n">
        <x:v>-0.034810326993465424</x:v>
      </x:c>
      <x:c r="R113" s="44" t="n">
        <x:v>0.0963173657655716</x:v>
      </x:c>
      <x:c r="S113" s="44" t="n">
        <x:v>870</x:v>
      </x:c>
      <x:c r="T113" s="44" t="n">
        <x:v>0.017241379310344827</x:v>
      </x:c>
      <x:c r="U113" s="44" t="n">
        <x:v>0.0011494252873563218</x:v>
      </x:c>
      <x:c r="V113" s="44" t="n">
        <x:v>0.5942528735632184</x:v>
      </x:c>
      <x:c r="W113" s="44" t="n">
        <x:v>0.10459770114942529</x:v>
      </x:c>
      <x:c r="X113" s="44" t="n">
        <x:v>0.2827586206896552</x:v>
      </x:c>
      <x:c r="Y113" s="44" t="n">
        <x:v>0</x:v>
      </x:c>
      <x:c r="Z113" s="44" t="n">
        <x:v>0.45294117647058824</x:v>
      </x:c>
      <x:c r="AA113" s="45" t="n">
        <x:v>0.6529411764705882</x:v>
      </x:c>
      <x:c r="AB113" s="45" t="n">
        <x:v>0.5823529411764706</x:v>
      </x:c>
      <x:c r="AC113" s="45" t="n">
        <x:v>0.22941176470588234</x:v>
      </x:c>
      <x:c r="AD113" s="44" t="n">
        <x:v>0.36470588235294116</x:v>
      </x:c>
      <x:c r="AE113" s="44" t="n">
        <x:v>0.5176470588235295</x:v>
      </x:c>
      <x:c r="AF113" s="45" t="n">
        <x:v>0.5852941176470589</x:v>
      </x:c>
      <x:c r="AG113" s="45" t="n">
        <x:v>0.5196078431372549</x:v>
      </x:c>
      <x:c r="AH113" s="44" t="n">
        <x:v>0.38235294117647056</x:v>
      </x:c>
      <x:c r="AI113" s="44" t="n">
        <x:v>0.6176470588235294</x:v>
      </x:c>
      <x:c r="AJ113" s="45" t="n">
        <x:v>0.5588235294117647</x:v>
      </x:c>
      <x:c r="AK113" s="45" t="n">
        <x:v>0.3138888888888889</x:v>
      </x:c>
      <x:c r="AL113" s="45" t="n">
        <x:v>0.4729302832244009</x:v>
      </x:c>
      <x:c r="AM113" s="44" t="n">
        <x:v>0.5524509803921569</x:v>
      </x:c>
    </x:row>
    <x:row r="114" ht="15" hidden="0" customHeight="1">
      <x:c r="A114" s="44" t="str">
        <x:v>139-006</x:v>
      </x:c>
      <x:c r="B114" s="44" t="str">
        <x:v>Dharmarajika stupa and monastery</x:v>
      </x:c>
      <x:c r="C114" s="44" t="n">
        <x:v>500</x:v>
      </x:c>
      <x:c r="D114" s="44" t="str">
        <x:v>E2024</x:v>
      </x:c>
      <x:c r="E114" s="44" t="n">
        <x:v>2024</x:v>
      </x:c>
      <x:c r="F114" s="44" t="n">
        <x:v>870</x:v>
      </x:c>
      <x:c r="G114" s="45" t="n">
        <x:v>0.4508886933326721</x:v>
      </x:c>
      <x:c r="H114" s="44" t="n">
        <x:v>0.3089974522590637</x:v>
      </x:c>
      <x:c r="I114" s="44" t="n">
        <x:v>0.5866602659225464</x:v>
      </x:c>
      <x:c r="J114" s="45" t="n">
        <x:v>-0.06714771687984467</x:v>
      </x:c>
      <x:c r="K114" s="44" t="n">
        <x:v>-0.16828230023384094</x:v>
      </x:c>
      <x:c r="L114" s="44" t="n">
        <x:v>0.017590956762433052</x:v>
      </x:c>
      <x:c r="M114" s="45" t="n">
        <x:v>-0.42917248606681824</x:v>
      </x:c>
      <x:c r="N114" s="44" t="n">
        <x:v>-0.4756610095500946</x:v>
      </x:c>
      <x:c r="O114" s="44" t="n">
        <x:v>-0.3889809250831604</x:v>
      </x:c>
      <x:c r="P114" s="45" t="n">
        <x:v>0.011419737711548805</x:v>
      </x:c>
      <x:c r="Q114" s="44" t="n">
        <x:v>-0.08977881819009781</x:v>
      </x:c>
      <x:c r="R114" s="44" t="n">
        <x:v>0.09442684054374695</x:v>
      </x:c>
      <x:c r="S114" s="44" t="n">
        <x:v>870</x:v>
      </x:c>
      <x:c r="T114" s="44" t="n">
        <x:v>0.005747126436781609</x:v>
      </x:c>
      <x:c r="U114" s="44" t="n">
        <x:v>0.02528735632183908</x:v>
      </x:c>
      <x:c r="V114" s="44" t="n">
        <x:v>0.5183908045977011</x:v>
      </x:c>
      <x:c r="W114" s="44" t="n">
        <x:v>0.1793103448275862</x:v>
      </x:c>
      <x:c r="X114" s="44" t="n">
        <x:v>0.271264367816092</x:v>
      </x:c>
      <x:c r="Y114" s="44" t="n">
        <x:v>0</x:v>
      </x:c>
      <x:c r="Z114" s="44" t="n">
        <x:v>0.31176470588235294</x:v>
      </x:c>
      <x:c r="AA114" s="45" t="n">
        <x:v>0.7588235294117647</x:v>
      </x:c>
      <x:c r="AB114" s="45" t="n">
        <x:v>0.38235294117647056</x:v>
      </x:c>
      <x:c r="AC114" s="45" t="n">
        <x:v>0.13529411764705881</x:v>
      </x:c>
      <x:c r="AD114" s="44" t="n">
        <x:v>0.7470588235294118</x:v>
      </x:c>
      <x:c r="AE114" s="44" t="n">
        <x:v>0.34705882352941175</x:v>
      </x:c>
      <x:c r="AF114" s="45" t="n">
        <x:v>0.5529411764705883</x:v>
      </x:c>
      <x:c r="AG114" s="45" t="n">
        <x:v>0.5196078431372549</x:v>
      </x:c>
      <x:c r="AH114" s="44" t="n">
        <x:v>0.38235294117647056</x:v>
      </x:c>
      <x:c r="AI114" s="44" t="n">
        <x:v>0.6176470588235294</x:v>
      </x:c>
      <x:c r="AJ114" s="45" t="n">
        <x:v>0.5588235294117647</x:v>
      </x:c>
      <x:c r="AK114" s="45" t="n">
        <x:v>0.5259259259259259</x:v>
      </x:c>
      <x:c r="AL114" s="45" t="n">
        <x:v>0.5328249818445897</x:v>
      </x:c>
      <x:c r="AM114" s="44" t="n">
        <x:v>0.5362745098039217</x:v>
      </x:c>
    </x:row>
    <x:row r="115" ht="15" hidden="0" customHeight="1">
      <x:c r="A115" s="44" t="str">
        <x:v>139-007</x:v>
      </x:c>
      <x:c r="B115" s="44" t="str">
        <x:v>Khader Mohra (Akhuri)</x:v>
      </x:c>
      <x:c r="C115" s="44" t="n">
        <x:v>500</x:v>
      </x:c>
      <x:c r="D115" s="44" t="str">
        <x:v>E2004</x:v>
      </x:c>
      <x:c r="E115" s="44" t="n">
        <x:v>2004</x:v>
      </x:c>
      <x:c r="F115" s="44" t="n">
        <x:v>871</x:v>
      </x:c>
      <x:c r="G115" s="45" t="n">
        <x:v>0.3790982961654663</x:v>
      </x:c>
      <x:c r="H115" s="44" t="n">
        <x:v>0.32126954197883606</x:v>
      </x:c>
      <x:c r="I115" s="44" t="n">
        <x:v>0.47476592659950256</x:v>
      </x:c>
      <x:c r="J115" s="45" t="n">
        <x:v>-0.036232564598321915</x:v>
      </x:c>
      <x:c r="K115" s="44" t="n">
        <x:v>-0.15806129574775696</x:v>
      </x:c>
      <x:c r="L115" s="44" t="n">
        <x:v>0.051204316318035126</x:v>
      </x:c>
      <x:c r="M115" s="45" t="n">
        <x:v>-0.41271185874938965</x:v>
      </x:c>
      <x:c r="N115" s="44" t="n">
        <x:v>-0.4688114523887634</x:v>
      </x:c>
      <x:c r="O115" s="44" t="n">
        <x:v>-0.323346346616745</x:v>
      </x:c>
      <x:c r="P115" s="45" t="n">
        <x:v>0.04265002906322479</x:v>
      </x:c>
      <x:c r="Q115" s="44" t="n">
        <x:v>-0.05964755266904831</x:v>
      </x:c>
      <x:c r="R115" s="44" t="n">
        <x:v>0.11708202958106995</x:v>
      </x:c>
      <x:c r="S115" s="44" t="n">
        <x:v>871</x:v>
      </x:c>
      <x:c r="T115" s="44" t="n">
        <x:v>0.10677382319173363</x:v>
      </x:c>
      <x:c r="U115" s="44" t="n">
        <x:v>0.011481056257175661</x:v>
      </x:c>
      <x:c r="V115" s="44" t="n">
        <x:v>0.3283582089552239</x:v>
      </x:c>
      <x:c r="W115" s="44" t="n">
        <x:v>0.09070034443168772</x:v>
      </x:c>
      <x:c r="X115" s="44" t="n">
        <x:v>0.4626865671641791</x:v>
      </x:c>
      <x:c r="Y115" s="44" t="n">
        <x:v>0</x:v>
      </x:c>
      <x:c r="Z115" s="44" t="n">
        <x:v>0.5941176470588235</x:v>
      </x:c>
      <x:c r="AA115" s="45" t="n">
        <x:v>0.28823529411764703</x:v>
      </x:c>
      <x:c r="AB115" s="45" t="n">
        <x:v>0.5117647058823529</x:v>
      </x:c>
      <x:c r="AC115" s="45" t="n">
        <x:v>0.6882352941176471</x:v>
      </x:c>
      <x:c r="AD115" s="44" t="n">
        <x:v>0.5529411764705883</x:v>
      </x:c>
      <x:c r="AE115" s="44" t="n">
        <x:v>0.5529411764705883</x:v>
      </x:c>
      <x:c r="AF115" s="45" t="n">
        <x:v>0.42058823529411765</x:v>
      </x:c>
      <x:c r="AG115" s="45" t="n">
        <x:v>0.5588235294117646</x:v>
      </x:c>
      <x:c r="AH115" s="44" t="n">
        <x:v>0.8529411764705882</x:v>
      </x:c>
      <x:c r="AI115" s="44" t="n">
        <x:v>0.029411764705882353</x:v>
      </x:c>
      <x:c r="AJ115" s="45" t="n">
        <x:v>0.7941176470588235</x:v>
      </x:c>
      <x:c r="AK115" s="45" t="n">
        <x:v>0.5166666666666666</x:v>
      </x:c>
      <x:c r="AL115" s="45" t="n">
        <x:v>0.4986928104575163</x:v>
      </x:c>
      <x:c r="AM115" s="44" t="n">
        <x:v>0.4897058823529411</x:v>
      </x:c>
    </x:row>
    <x:row r="116" ht="15" hidden="0" customHeight="1">
      <x:c r="A116" s="44" t="str">
        <x:v>139-007</x:v>
      </x:c>
      <x:c r="B116" s="44" t="str">
        <x:v>Khader Mohra (Akhuri)</x:v>
      </x:c>
      <x:c r="C116" s="44" t="n">
        <x:v>500</x:v>
      </x:c>
      <x:c r="D116" s="44" t="str">
        <x:v>E2009</x:v>
      </x:c>
      <x:c r="E116" s="44" t="n">
        <x:v>2009</x:v>
      </x:c>
      <x:c r="F116" s="44" t="n">
        <x:v>871</x:v>
      </x:c>
      <x:c r="G116" s="45" t="n">
        <x:v>0.3745420277118683</x:v>
      </x:c>
      <x:c r="H116" s="44" t="n">
        <x:v>0.29554644227027893</x:v>
      </x:c>
      <x:c r="I116" s="44" t="n">
        <x:v>0.48389482498168945</x:v>
      </x:c>
      <x:c r="J116" s="45" t="n">
        <x:v>-0.03463033214211464</x:v>
      </x:c>
      <x:c r="K116" s="44" t="n">
        <x:v>-0.14819544553756714</x:v>
      </x:c>
      <x:c r="L116" s="44" t="n">
        <x:v>0.0651305764913559</x:v>
      </x:c>
      <x:c r="M116" s="45" t="n">
        <x:v>-0.41063565015792847</x:v>
      </x:c>
      <x:c r="N116" s="44" t="n">
        <x:v>-0.4580623209476471</x:v>
      </x:c>
      <x:c r="O116" s="44" t="n">
        <x:v>-0.33957645297050476</x:v>
      </x:c>
      <x:c r="P116" s="45" t="n">
        <x:v>0.04245314374566078</x:v>
      </x:c>
      <x:c r="Q116" s="44" t="n">
        <x:v>-0.06257754564285278</x:v>
      </x:c>
      <x:c r="R116" s="44" t="n">
        <x:v>0.1320715695619583</x:v>
      </x:c>
      <x:c r="S116" s="44" t="n">
        <x:v>871</x:v>
      </x:c>
      <x:c r="T116" s="44" t="n">
        <x:v>0.16991963260619977</x:v>
      </x:c>
      <x:c r="U116" s="44" t="n">
        <x:v>0.002296211251435132</x:v>
      </x:c>
      <x:c r="V116" s="44" t="n">
        <x:v>0.37657864523536166</x:v>
      </x:c>
      <x:c r="W116" s="44" t="n">
        <x:v>0.1010332950631458</x:v>
      </x:c>
      <x:c r="X116" s="44" t="n">
        <x:v>0.35017221584385766</x:v>
      </x:c>
      <x:c r="Y116" s="44" t="n">
        <x:v>0</x:v>
      </x:c>
      <x:c r="Z116" s="44" t="n">
        <x:v>0.6294117647058823</x:v>
      </x:c>
      <x:c r="AA116" s="45" t="n">
        <x:v>0.2529411764705882</x:v>
      </x:c>
      <x:c r="AB116" s="45" t="n">
        <x:v>0.5352941176470588</x:v>
      </x:c>
      <x:c r="AC116" s="45" t="n">
        <x:v>0.8058823529411765</x:v>
      </x:c>
      <x:c r="AD116" s="44" t="n">
        <x:v>0.4176470588235294</x:v>
      </x:c>
      <x:c r="AE116" s="44" t="n">
        <x:v>0.5823529411764705</x:v>
      </x:c>
      <x:c r="AF116" s="45" t="n">
        <x:v>0.41764705882352937</x:v>
      </x:c>
      <x:c r="AG116" s="45" t="n">
        <x:v>0.5588235294117646</x:v>
      </x:c>
      <x:c r="AH116" s="44" t="n">
        <x:v>0.8529411764705882</x:v>
      </x:c>
      <x:c r="AI116" s="44" t="n">
        <x:v>0.029411764705882353</x:v>
      </x:c>
      <x:c r="AJ116" s="45" t="n">
        <x:v>0.7941176470588235</x:v>
      </x:c>
      <x:c r="AK116" s="45" t="n">
        <x:v>0.462037037037037</x:v>
      </x:c>
      <x:c r="AL116" s="45" t="n">
        <x:v>0.47950254175744367</x:v>
      </x:c>
      <x:c r="AM116" s="44" t="n">
        <x:v>0.488235294117647</x:v>
      </x:c>
    </x:row>
    <x:row r="117" ht="15" hidden="0" customHeight="1">
      <x:c r="A117" s="44" t="str">
        <x:v>139-007</x:v>
      </x:c>
      <x:c r="B117" s="44" t="str">
        <x:v>Khader Mohra (Akhuri)</x:v>
      </x:c>
      <x:c r="C117" s="44" t="n">
        <x:v>500</x:v>
      </x:c>
      <x:c r="D117" s="44" t="str">
        <x:v>E2014</x:v>
      </x:c>
      <x:c r="E117" s="44" t="n">
        <x:v>2014</x:v>
      </x:c>
      <x:c r="F117" s="44" t="n">
        <x:v>871</x:v>
      </x:c>
      <x:c r="G117" s="45" t="n">
        <x:v>0.391315221786499</x:v>
      </x:c>
      <x:c r="H117" s="44" t="n">
        <x:v>0.3141784369945526</x:v>
      </x:c>
      <x:c r="I117" s="44" t="n">
        <x:v>0.5504087209701538</x:v>
      </x:c>
      <x:c r="J117" s="45" t="n">
        <x:v>-0.04114050045609474</x:v>
      </x:c>
      <x:c r="K117" s="44" t="n">
        <x:v>-0.20441359281539917</x:v>
      </x:c>
      <x:c r="L117" s="44" t="n">
        <x:v>0.05651744082570076</x:v>
      </x:c>
      <x:c r="M117" s="45" t="n">
        <x:v>-0.4153493344783783</x:v>
      </x:c>
      <x:c r="N117" s="44" t="n">
        <x:v>-0.4581226110458374</x:v>
      </x:c>
      <x:c r="O117" s="44" t="n">
        <x:v>-0.3176766633987427</x:v>
      </x:c>
      <x:c r="P117" s="45" t="n">
        <x:v>0.03692421689629555</x:v>
      </x:c>
      <x:c r="Q117" s="44" t="n">
        <x:v>-0.10319939255714417</x:v>
      </x:c>
      <x:c r="R117" s="44" t="n">
        <x:v>0.11610226333141327</x:v>
      </x:c>
      <x:c r="S117" s="44" t="n">
        <x:v>871</x:v>
      </x:c>
      <x:c r="T117" s="44" t="n">
        <x:v>0.04707233065442021</x:v>
      </x:c>
      <x:c r="U117" s="44" t="n">
        <x:v>0.016073478760045924</x:v>
      </x:c>
      <x:c r="V117" s="44" t="n">
        <x:v>0.23765786452353616</x:v>
      </x:c>
      <x:c r="W117" s="44" t="n">
        <x:v>0.1584385763490241</x:v>
      </x:c>
      <x:c r="X117" s="44" t="n">
        <x:v>0.5407577497129736</x:v>
      </x:c>
      <x:c r="Y117" s="44" t="n">
        <x:v>0</x:v>
      </x:c>
      <x:c r="Z117" s="44" t="n">
        <x:v>0.5235294117647059</x:v>
      </x:c>
      <x:c r="AA117" s="45" t="n">
        <x:v>0.3941176470588235</x:v>
      </x:c>
      <x:c r="AB117" s="45" t="n">
        <x:v>0.4294117647058823</x:v>
      </x:c>
      <x:c r="AC117" s="45" t="n">
        <x:v>0.4294117647058823</x:v>
      </x:c>
      <x:c r="AD117" s="44" t="n">
        <x:v>0.6352941176470588</x:v>
      </x:c>
      <x:c r="AE117" s="44" t="n">
        <x:v>0.4764705882352941</x:v>
      </x:c>
      <x:c r="AF117" s="45" t="n">
        <x:v>0.43529411764705883</x:v>
      </x:c>
      <x:c r="AG117" s="45" t="n">
        <x:v>0.5588235294117646</x:v>
      </x:c>
      <x:c r="AH117" s="44" t="n">
        <x:v>0.8529411764705882</x:v>
      </x:c>
      <x:c r="AI117" s="44" t="n">
        <x:v>0.029411764705882353</x:v>
      </x:c>
      <x:c r="AJ117" s="45" t="n">
        <x:v>0.7941176470588235</x:v>
      </x:c>
      <x:c r="AK117" s="45" t="n">
        <x:v>0.4842592592592592</x:v>
      </x:c>
      <x:c r="AL117" s="45" t="n">
        <x:v>0.4927923021060276</x:v>
      </x:c>
      <x:c r="AM117" s="44" t="n">
        <x:v>0.4970588235294117</x:v>
      </x:c>
    </x:row>
    <x:row r="118" ht="15" hidden="0" customHeight="1">
      <x:c r="A118" s="44" t="str">
        <x:v>139-007</x:v>
      </x:c>
      <x:c r="B118" s="44" t="str">
        <x:v>Khader Mohra (Akhuri)</x:v>
      </x:c>
      <x:c r="C118" s="44" t="n">
        <x:v>500</x:v>
      </x:c>
      <x:c r="D118" s="44" t="str">
        <x:v>E2019</x:v>
      </x:c>
      <x:c r="E118" s="44" t="n">
        <x:v>2019</x:v>
      </x:c>
      <x:c r="F118" s="44" t="n">
        <x:v>871</x:v>
      </x:c>
      <x:c r="G118" s="45" t="n">
        <x:v>0.41531869769096375</x:v>
      </x:c>
      <x:c r="H118" s="44" t="n">
        <x:v>0.3083135187625885</x:v>
      </x:c>
      <x:c r="I118" s="44" t="n">
        <x:v>0.5767127275466919</x:v>
      </x:c>
      <x:c r="J118" s="45" t="n">
        <x:v>-0.07088577002286911</x:v>
      </x:c>
      <x:c r="K118" s="44" t="n">
        <x:v>-0.23609913885593414</x:v>
      </x:c>
      <x:c r="L118" s="44" t="n">
        <x:v>0.04765782505273819</x:v>
      </x:c>
      <x:c r="M118" s="45" t="n">
        <x:v>-0.4072195589542389</x:v>
      </x:c>
      <x:c r="N118" s="44" t="n">
        <x:v>-0.44668370485305786</x:v>
      </x:c>
      <x:c r="O118" s="44" t="n">
        <x:v>-0.3027113676071167</x:v>
      </x:c>
      <x:c r="P118" s="45" t="n">
        <x:v>0.01298013236373663</x:v>
      </x:c>
      <x:c r="Q118" s="44" t="n">
        <x:v>-0.1413469910621643</x:v>
      </x:c>
      <x:c r="R118" s="44" t="n">
        <x:v>0.11137089133262634</x:v>
      </x:c>
      <x:c r="S118" s="44" t="n">
        <x:v>871</x:v>
      </x:c>
      <x:c r="T118" s="44" t="n">
        <x:v>0.06199770378874857</x:v>
      </x:c>
      <x:c r="U118" s="44" t="n">
        <x:v>0.018369690011481057</x:v>
      </x:c>
      <x:c r="V118" s="44" t="n">
        <x:v>0.20780711825487944</x:v>
      </x:c>
      <x:c r="W118" s="44" t="n">
        <x:v>0.2606199770378875</x:v>
      </x:c>
      <x:c r="X118" s="44" t="n">
        <x:v>0.45120551090700345</x:v>
      </x:c>
      <x:c r="Y118" s="44" t="n">
        <x:v>0</x:v>
      </x:c>
      <x:c r="Z118" s="44" t="n">
        <x:v>0.4235294117647059</x:v>
      </x:c>
      <x:c r="AA118" s="45" t="n">
        <x:v>0.18235294117647058</x:v>
      </x:c>
      <x:c r="AB118" s="45" t="n">
        <x:v>0.3352941176470588</x:v>
      </x:c>
      <x:c r="AC118" s="45" t="n">
        <x:v>0.5176470588235295</x:v>
      </x:c>
      <x:c r="AD118" s="44" t="n">
        <x:v>0.6882352941176471</x:v>
      </x:c>
      <x:c r="AE118" s="44" t="n">
        <x:v>0.37941176470588234</x:v>
      </x:c>
      <x:c r="AF118" s="45" t="n">
        <x:v>0.28088235294117647</x:v>
      </x:c>
      <x:c r="AG118" s="45" t="n">
        <x:v>0.5588235294117646</x:v>
      </x:c>
      <x:c r="AH118" s="44" t="n">
        <x:v>0.8529411764705882</x:v>
      </x:c>
      <x:c r="AI118" s="44" t="n">
        <x:v>0.029411764705882353</x:v>
      </x:c>
      <x:c r="AJ118" s="45" t="n">
        <x:v>0.7941176470588235</x:v>
      </x:c>
      <x:c r="AK118" s="45" t="n">
        <x:v>0.3138888888888889</x:v>
      </x:c>
      <x:c r="AL118" s="45" t="n">
        <x:v>0.3845315904139433</x:v>
      </x:c>
      <x:c r="AM118" s="44" t="n">
        <x:v>0.41985294117647054</x:v>
      </x:c>
    </x:row>
    <x:row r="119" ht="15" hidden="0" customHeight="1">
      <x:c r="A119" s="44" t="str">
        <x:v>139-007</x:v>
      </x:c>
      <x:c r="B119" s="44" t="str">
        <x:v>Khader Mohra (Akhuri)</x:v>
      </x:c>
      <x:c r="C119" s="44" t="n">
        <x:v>500</x:v>
      </x:c>
      <x:c r="D119" s="44" t="str">
        <x:v>E2024</x:v>
      </x:c>
      <x:c r="E119" s="44" t="n">
        <x:v>2024</x:v>
      </x:c>
      <x:c r="F119" s="44" t="n">
        <x:v>871</x:v>
      </x:c>
      <x:c r="G119" s="45" t="n">
        <x:v>0.5082968473434448</x:v>
      </x:c>
      <x:c r="H119" s="44" t="n">
        <x:v>0.40941986441612244</x:v>
      </x:c>
      <x:c r="I119" s="44" t="n">
        <x:v>0.6546245217323303</x:v>
      </x:c>
      <x:c r="J119" s="45" t="n">
        <x:v>-0.11434293538331985</x:v>
      </x:c>
      <x:c r="K119" s="44" t="n">
        <x:v>-0.264221727848053</x:v>
      </x:c>
      <x:c r="L119" s="44" t="n">
        <x:v>-0.017408788204193115</x:v>
      </x:c>
      <x:c r="M119" s="45" t="n">
        <x:v>-0.43193235993385315</x:v>
      </x:c>
      <x:c r="N119" s="44" t="n">
        <x:v>-0.47051236033439636</x:v>
      </x:c>
      <x:c r="O119" s="44" t="n">
        <x:v>-0.37059617042541504</x:v>
      </x:c>
      <x:c r="P119" s="45" t="n">
        <x:v>-0.02868781052529812</x:v>
      </x:c>
      <x:c r="Q119" s="44" t="n">
        <x:v>-0.17348389327526093</x:v>
      </x:c>
      <x:c r="R119" s="44" t="n">
        <x:v>0.05404992774128914</x:v>
      </x:c>
      <x:c r="S119" s="44" t="n">
        <x:v>871</x:v>
      </x:c>
      <x:c r="T119" s="44" t="n">
        <x:v>0.021814006888633754</x:v>
      </x:c>
      <x:c r="U119" s="44" t="n">
        <x:v>0.001148105625717566</x:v>
      </x:c>
      <x:c r="V119" s="44" t="n">
        <x:v>0.14580941446613088</x:v>
      </x:c>
      <x:c r="W119" s="44" t="n">
        <x:v>0.39724454649827784</x:v>
      </x:c>
      <x:c r="X119" s="44" t="n">
        <x:v>0.43398392652123996</x:v>
      </x:c>
      <x:c r="Y119" s="44" t="n">
        <x:v>0</x:v>
      </x:c>
      <x:c r="Z119" s="44" t="n">
        <x:v>0.18235294117647058</x:v>
      </x:c>
      <x:c r="AA119" s="45" t="n">
        <x:v>0.8294117647058824</x:v>
      </x:c>
      <x:c r="AB119" s="45" t="n">
        <x:v>0.20588235294117646</x:v>
      </x:c>
      <x:c r="AC119" s="45" t="n">
        <x:v>0.2529411764705882</x:v>
      </x:c>
      <x:c r="AD119" s="44" t="n">
        <x:v>0.3352941176470588</x:v>
      </x:c>
      <x:c r="AE119" s="44" t="n">
        <x:v>0.1941176470588235</x:v>
      </x:c>
      <x:c r="AF119" s="45" t="n">
        <x:v>0.5117647058823529</x:v>
      </x:c>
      <x:c r="AG119" s="45" t="n">
        <x:v>0.5588235294117646</x:v>
      </x:c>
      <x:c r="AH119" s="44" t="n">
        <x:v>0.8529411764705882</x:v>
      </x:c>
      <x:c r="AI119" s="44" t="n">
        <x:v>0.029411764705882353</x:v>
      </x:c>
      <x:c r="AJ119" s="45" t="n">
        <x:v>0.7941176470588235</x:v>
      </x:c>
      <x:c r="AK119" s="45" t="n">
        <x:v>0.5259259259259259</x:v>
      </x:c>
      <x:c r="AL119" s="45" t="n">
        <x:v>0.5321713870733478</x:v>
      </x:c>
      <x:c r="AM119" s="44" t="n">
        <x:v>0.5352941176470587</x:v>
      </x:c>
    </x:row>
    <x:row r="120" ht="15" hidden="0" customHeight="1">
      <x:c r="A120" s="44" t="str">
        <x:v>139-008</x:v>
      </x:c>
      <x:c r="B120" s="44" t="str">
        <x:v>Kalawan group of buildings</x:v>
      </x:c>
      <x:c r="C120" s="44" t="n">
        <x:v>500</x:v>
      </x:c>
      <x:c r="D120" s="44" t="str">
        <x:v>E2004</x:v>
      </x:c>
      <x:c r="E120" s="44" t="n">
        <x:v>2004</x:v>
      </x:c>
      <x:c r="F120" s="44" t="n">
        <x:v>875</x:v>
      </x:c>
      <x:c r="G120" s="45" t="n">
        <x:v>0.361090749502182</x:v>
      </x:c>
      <x:c r="H120" s="44" t="n">
        <x:v>0.2707289755344391</x:v>
      </x:c>
      <x:c r="I120" s="44" t="n">
        <x:v>0.4510813355445862</x:v>
      </x:c>
      <x:c r="J120" s="45" t="n">
        <x:v>0.004470660351216793</x:v>
      </x:c>
      <x:c r="K120" s="44" t="n">
        <x:v>-0.07615793496370316</x:v>
      </x:c>
      <x:c r="L120" s="44" t="n">
        <x:v>0.05300131440162659</x:v>
      </x:c>
      <x:c r="M120" s="45" t="n">
        <x:v>-0.43855324387550354</x:v>
      </x:c>
      <x:c r="N120" s="44" t="n">
        <x:v>-0.46851953864097595</x:v>
      </x:c>
      <x:c r="O120" s="44" t="n">
        <x:v>-0.39283159375190735</x:v>
      </x:c>
      <x:c r="P120" s="45" t="n">
        <x:v>0.08197284489870071</x:v>
      </x:c>
      <x:c r="Q120" s="44" t="n">
        <x:v>0.005156333092600107</x:v>
      </x:c>
      <x:c r="R120" s="44" t="n">
        <x:v>0.1317068636417389</x:v>
      </x:c>
      <x:c r="S120" s="44" t="n">
        <x:v>875</x:v>
      </x:c>
      <x:c r="T120" s="44" t="n">
        <x:v>0.038857142857142854</x:v>
      </x:c>
      <x:c r="U120" s="44" t="n">
        <x:v>0.038857142857142854</x:v>
      </x:c>
      <x:c r="V120" s="44" t="n">
        <x:v>0.5097142857142857</x:v>
      </x:c>
      <x:c r="W120" s="44" t="n">
        <x:v>0.02057142857142857</x:v>
      </x:c>
      <x:c r="X120" s="44" t="n">
        <x:v>0.392</x:v>
      </x:c>
      <x:c r="Y120" s="44" t="n">
        <x:v>0</x:v>
      </x:c>
      <x:c r="Z120" s="44" t="n">
        <x:v>0.7823529411764706</x:v>
      </x:c>
      <x:c r="AA120" s="45" t="n">
        <x:v>0.888235294117647</x:v>
      </x:c>
      <x:c r="AB120" s="45" t="n">
        <x:v>0.8529411764705882</x:v>
      </x:c>
      <x:c r="AC120" s="45" t="n">
        <x:v>0.3588235294117647</x:v>
      </x:c>
      <x:c r="AD120" s="44" t="n">
        <x:v>0.8176470588235294</x:v>
      </x:c>
      <x:c r="AE120" s="44" t="n">
        <x:v>0.8176470588235294</x:v>
      </x:c>
      <x:c r="AF120" s="45" t="n">
        <x:v>0.8529411764705882</x:v>
      </x:c>
      <x:c r="AG120" s="45" t="n">
        <x:v>0.4705882352941176</x:v>
      </x:c>
      <x:c r="AH120" s="44" t="n">
        <x:v>0.4411764705882353</x:v>
      </x:c>
      <x:c r="AI120" s="44" t="n">
        <x:v>0.47058823529411764</x:v>
      </x:c>
      <x:c r="AJ120" s="45" t="n">
        <x:v>0.5</x:v>
      </x:c>
      <x:c r="AK120" s="45" t="n">
        <x:v>0.5166666666666666</x:v>
      </x:c>
      <x:c r="AL120" s="45" t="n">
        <x:v>0.6133986928104574</x:v>
      </x:c>
      <x:c r="AM120" s="44" t="n">
        <x:v>0.6617647058823529</x:v>
      </x:c>
    </x:row>
    <x:row r="121" ht="15" hidden="0" customHeight="1">
      <x:c r="A121" s="44" t="str">
        <x:v>139-008</x:v>
      </x:c>
      <x:c r="B121" s="44" t="str">
        <x:v>Kalawan group of buildings</x:v>
      </x:c>
      <x:c r="C121" s="44" t="n">
        <x:v>500</x:v>
      </x:c>
      <x:c r="D121" s="44" t="str">
        <x:v>E2009</x:v>
      </x:c>
      <x:c r="E121" s="44" t="n">
        <x:v>2009</x:v>
      </x:c>
      <x:c r="F121" s="44" t="n">
        <x:v>875</x:v>
      </x:c>
      <x:c r="G121" s="45" t="n">
        <x:v>0.3462654948234558</x:v>
      </x:c>
      <x:c r="H121" s="44" t="n">
        <x:v>0.2568318545818329</x:v>
      </x:c>
      <x:c r="I121" s="44" t="n">
        <x:v>0.4363859295845032</x:v>
      </x:c>
      <x:c r="J121" s="45" t="n">
        <x:v>0.010735281743109226</x:v>
      </x:c>
      <x:c r="K121" s="44" t="n">
        <x:v>-0.07264257222414017</x:v>
      </x:c>
      <x:c r="L121" s="44" t="n">
        <x:v>0.05770924687385559</x:v>
      </x:c>
      <x:c r="M121" s="45" t="n">
        <x:v>-0.42469483613967896</x:v>
      </x:c>
      <x:c r="N121" s="44" t="n">
        <x:v>-0.4680699408054352</x:v>
      </x:c>
      <x:c r="O121" s="44" t="n">
        <x:v>-0.38633304834365845</x:v>
      </x:c>
      <x:c r="P121" s="45" t="n">
        <x:v>0.08281318098306656</x:v>
      </x:c>
      <x:c r="Q121" s="44" t="n">
        <x:v>0.007061661221086979</x:v>
      </x:c>
      <x:c r="R121" s="44" t="n">
        <x:v>0.13112810254096985</x:v>
      </x:c>
      <x:c r="S121" s="44" t="n">
        <x:v>875</x:v>
      </x:c>
      <x:c r="T121" s="44" t="n">
        <x:v>0.061714285714285715</x:v>
      </x:c>
      <x:c r="U121" s="44" t="n">
        <x:v>0.08228571428571428</x:v>
      </x:c>
      <x:c r="V121" s="44" t="n">
        <x:v>0.4422857142857143</x:v>
      </x:c>
      <x:c r="W121" s="44" t="n">
        <x:v>0.010285714285714285</x:v>
      </x:c>
      <x:c r="X121" s="44" t="n">
        <x:v>0.4034285714285714</x:v>
      </x:c>
      <x:c r="Y121" s="44" t="n">
        <x:v>0</x:v>
      </x:c>
      <x:c r="Z121" s="44" t="n">
        <x:v>0.8764705882352941</x:v>
      </x:c>
      <x:c r="AA121" s="45" t="n">
        <x:v>0.6764705882352942</x:v>
      </x:c>
      <x:c r="AB121" s="45" t="n">
        <x:v>0.8764705882352941</x:v>
      </x:c>
      <x:c r="AC121" s="45" t="n">
        <x:v>0.5</x:v>
      </x:c>
      <x:c r="AD121" s="44" t="n">
        <x:v>0.9117647058823529</x:v>
      </x:c>
      <x:c r="AE121" s="44" t="n">
        <x:v>0.8764705882352941</x:v>
      </x:c>
      <x:c r="AF121" s="45" t="n">
        <x:v>0.7764705882352941</x:v>
      </x:c>
      <x:c r="AG121" s="45" t="n">
        <x:v>0.4705882352941176</x:v>
      </x:c>
      <x:c r="AH121" s="44" t="n">
        <x:v>0.4411764705882353</x:v>
      </x:c>
      <x:c r="AI121" s="44" t="n">
        <x:v>0.47058823529411764</x:v>
      </x:c>
      <x:c r="AJ121" s="45" t="n">
        <x:v>0.5</x:v>
      </x:c>
      <x:c r="AK121" s="45" t="n">
        <x:v>0.462037037037037</x:v>
      </x:c>
      <x:c r="AL121" s="45" t="n">
        <x:v>0.5696986201888162</x:v>
      </x:c>
      <x:c r="AM121" s="44" t="n">
        <x:v>0.6235294117647059</x:v>
      </x:c>
    </x:row>
    <x:row r="122" ht="15" hidden="0" customHeight="1">
      <x:c r="A122" s="44" t="str">
        <x:v>139-008</x:v>
      </x:c>
      <x:c r="B122" s="44" t="str">
        <x:v>Kalawan group of buildings</x:v>
      </x:c>
      <x:c r="C122" s="44" t="n">
        <x:v>500</x:v>
      </x:c>
      <x:c r="D122" s="44" t="str">
        <x:v>E2014</x:v>
      </x:c>
      <x:c r="E122" s="44" t="n">
        <x:v>2014</x:v>
      </x:c>
      <x:c r="F122" s="44" t="n">
        <x:v>875</x:v>
      </x:c>
      <x:c r="G122" s="45" t="n">
        <x:v>0.3656013011932373</x:v>
      </x:c>
      <x:c r="H122" s="44" t="n">
        <x:v>0.26392635703086853</x:v>
      </x:c>
      <x:c r="I122" s="44" t="n">
        <x:v>0.5455897450447083</x:v>
      </x:c>
      <x:c r="J122" s="45" t="n">
        <x:v>0.0029716778080910444</x:v>
      </x:c>
      <x:c r="K122" s="44" t="n">
        <x:v>-0.13336223363876343</x:v>
      </x:c>
      <x:c r="L122" s="44" t="n">
        <x:v>0.05943337082862854</x:v>
      </x:c>
      <x:c r="M122" s="45" t="n">
        <x:v>-0.426351934671402</x:v>
      </x:c>
      <x:c r="N122" s="44" t="n">
        <x:v>-0.4720596373081207</x:v>
      </x:c>
      <x:c r="O122" s="44" t="n">
        <x:v>-0.37089842557907104</x:v>
      </x:c>
      <x:c r="P122" s="45" t="n">
        <x:v>0.07407525181770325</x:v>
      </x:c>
      <x:c r="Q122" s="44" t="n">
        <x:v>-0.05351897329092026</x:v>
      </x:c>
      <x:c r="R122" s="44" t="n">
        <x:v>0.12287730723619461</x:v>
      </x:c>
      <x:c r="S122" s="44" t="n">
        <x:v>875</x:v>
      </x:c>
      <x:c r="T122" s="44" t="n">
        <x:v>0.056</x:v>
      </x:c>
      <x:c r="U122" s="44" t="n">
        <x:v>0.032</x:v>
      </x:c>
      <x:c r="V122" s="44" t="n">
        <x:v>0.4057142857142857</x:v>
      </x:c>
      <x:c r="W122" s="44" t="n">
        <x:v>0.11428571428571428</x:v>
      </x:c>
      <x:c r="X122" s="44" t="n">
        <x:v>0.392</x:v>
      </x:c>
      <x:c r="Y122" s="44" t="n">
        <x:v>0</x:v>
      </x:c>
      <x:c r="Z122" s="44" t="n">
        <x:v>0.7352941176470589</x:v>
      </x:c>
      <x:c r="AA122" s="45" t="n">
        <x:v>0.7235294117647059</x:v>
      </x:c>
      <x:c r="AB122" s="45" t="n">
        <x:v>0.8411764705882353</x:v>
      </x:c>
      <x:c r="AC122" s="45" t="n">
        <x:v>0.4647058823529412</x:v>
      </x:c>
      <x:c r="AD122" s="44" t="n">
        <x:v>0.7705882352941177</x:v>
      </x:c>
      <x:c r="AE122" s="44" t="n">
        <x:v>0.7882352941176471</x:v>
      </x:c>
      <x:c r="AF122" s="45" t="n">
        <x:v>0.7558823529411764</x:v>
      </x:c>
      <x:c r="AG122" s="45" t="n">
        <x:v>0.4705882352941176</x:v>
      </x:c>
      <x:c r="AH122" s="44" t="n">
        <x:v>0.4411764705882353</x:v>
      </x:c>
      <x:c r="AI122" s="44" t="n">
        <x:v>0.47058823529411764</x:v>
      </x:c>
      <x:c r="AJ122" s="45" t="n">
        <x:v>0.5</x:v>
      </x:c>
      <x:c r="AK122" s="45" t="n">
        <x:v>0.4842592592592592</x:v>
      </x:c>
      <x:c r="AL122" s="45" t="n">
        <x:v>0.5702432824981843</x:v>
      </x:c>
      <x:c r="AM122" s="44" t="n">
        <x:v>0.613235294117647</x:v>
      </x:c>
    </x:row>
    <x:row r="123" ht="15" hidden="0" customHeight="1">
      <x:c r="A123" s="44" t="str">
        <x:v>139-008</x:v>
      </x:c>
      <x:c r="B123" s="44" t="str">
        <x:v>Kalawan group of buildings</x:v>
      </x:c>
      <x:c r="C123" s="44" t="n">
        <x:v>500</x:v>
      </x:c>
      <x:c r="D123" s="44" t="str">
        <x:v>E2019</x:v>
      </x:c>
      <x:c r="E123" s="44" t="n">
        <x:v>2019</x:v>
      </x:c>
      <x:c r="F123" s="44" t="n">
        <x:v>875</x:v>
      </x:c>
      <x:c r="G123" s="45" t="n">
        <x:v>0.4184981882572174</x:v>
      </x:c>
      <x:c r="H123" s="44" t="n">
        <x:v>0.31716158986091614</x:v>
      </x:c>
      <x:c r="I123" s="44" t="n">
        <x:v>0.556527316570282</x:v>
      </x:c>
      <x:c r="J123" s="45" t="n">
        <x:v>-0.030298717319965363</x:v>
      </x:c>
      <x:c r="K123" s="44" t="n">
        <x:v>-0.1505696177482605</x:v>
      </x:c>
      <x:c r="L123" s="44" t="n">
        <x:v>0.021390508860349655</x:v>
      </x:c>
      <x:c r="M123" s="45" t="n">
        <x:v>-0.4303780794143677</x:v>
      </x:c>
      <x:c r="N123" s="44" t="n">
        <x:v>-0.47442197799682617</x:v>
      </x:c>
      <x:c r="O123" s="44" t="n">
        <x:v>-0.3780762851238251</x:v>
      </x:c>
      <x:c r="P123" s="45" t="n">
        <x:v>0.04304293543100357</x:v>
      </x:c>
      <x:c r="Q123" s="44" t="n">
        <x:v>-0.06797584891319275</x:v>
      </x:c>
      <x:c r="R123" s="44" t="n">
        <x:v>0.09503386914730072</x:v>
      </x:c>
      <x:c r="S123" s="44" t="n">
        <x:v>875</x:v>
      </x:c>
      <x:c r="T123" s="44" t="n">
        <x:v>0.03314285714285714</x:v>
      </x:c>
      <x:c r="U123" s="44" t="n">
        <x:v>0.001142857142857143</x:v>
      </x:c>
      <x:c r="V123" s="44" t="n">
        <x:v>0.4125714285714286</x:v>
      </x:c>
      <x:c r="W123" s="44" t="n">
        <x:v>0.15771428571428572</x:v>
      </x:c>
      <x:c r="X123" s="44" t="n">
        <x:v>0.3954285714285714</x:v>
      </x:c>
      <x:c r="Y123" s="44" t="n">
        <x:v>0</x:v>
      </x:c>
      <x:c r="Z123" s="44" t="n">
        <x:v>0.40588235294117647</x:v>
      </x:c>
      <x:c r="AA123" s="45" t="n">
        <x:v>0.8058823529411765</x:v>
      </x:c>
      <x:c r="AB123" s="45" t="n">
        <x:v>0.5588235294117647</x:v>
      </x:c>
      <x:c r="AC123" s="45" t="n">
        <x:v>0.3352941176470588</x:v>
      </x:c>
      <x:c r="AD123" s="44" t="n">
        <x:v>0.31176470588235294</x:v>
      </x:c>
      <x:c r="AE123" s="44" t="n">
        <x:v>0.4823529411764706</x:v>
      </x:c>
      <x:c r="AF123" s="45" t="n">
        <x:v>0.6441176470588236</x:v>
      </x:c>
      <x:c r="AG123" s="45" t="n">
        <x:v>0.4705882352941176</x:v>
      </x:c>
      <x:c r="AH123" s="44" t="n">
        <x:v>0.4411764705882353</x:v>
      </x:c>
      <x:c r="AI123" s="44" t="n">
        <x:v>0.47058823529411764</x:v>
      </x:c>
      <x:c r="AJ123" s="45" t="n">
        <x:v>0.5</x:v>
      </x:c>
      <x:c r="AK123" s="45" t="n">
        <x:v>0.3138888888888889</x:v>
      </x:c>
      <x:c r="AL123" s="45" t="n">
        <x:v>0.47619825708061003</x:v>
      </x:c>
      <x:c r="AM123" s="44" t="n">
        <x:v>0.5573529411764706</x:v>
      </x:c>
    </x:row>
    <x:row r="124" ht="15" hidden="0" customHeight="1">
      <x:c r="A124" s="44" t="str">
        <x:v>139-008</x:v>
      </x:c>
      <x:c r="B124" s="44" t="str">
        <x:v>Kalawan group of buildings</x:v>
      </x:c>
      <x:c r="C124" s="44" t="n">
        <x:v>500</x:v>
      </x:c>
      <x:c r="D124" s="44" t="str">
        <x:v>E2024</x:v>
      </x:c>
      <x:c r="E124" s="44" t="n">
        <x:v>2024</x:v>
      </x:c>
      <x:c r="F124" s="44" t="n">
        <x:v>875</x:v>
      </x:c>
      <x:c r="G124" s="45" t="n">
        <x:v>0.4836149215698242</x:v>
      </x:c>
      <x:c r="H124" s="44" t="n">
        <x:v>0.31538325548171997</x:v>
      </x:c>
      <x:c r="I124" s="44" t="n">
        <x:v>0.6131768822669983</x:v>
      </x:c>
      <x:c r="J124" s="45" t="n">
        <x:v>-0.08646170049905777</x:v>
      </x:c>
      <x:c r="K124" s="44" t="n">
        <x:v>-0.20101191103458405</x:v>
      </x:c>
      <x:c r="L124" s="44" t="n">
        <x:v>0.011388796381652355</x:v>
      </x:c>
      <x:c r="M124" s="45" t="n">
        <x:v>-0.4329427480697632</x:v>
      </x:c>
      <x:c r="N124" s="44" t="n">
        <x:v>-0.4770206809043884</x:v>
      </x:c>
      <x:c r="O124" s="44" t="n">
        <x:v>-0.38738545775413513</x:v>
      </x:c>
      <x:c r="P124" s="45" t="n">
        <x:v>-0.005820338148623705</x:v>
      </x:c>
      <x:c r="Q124" s="44" t="n">
        <x:v>-0.11751249432563782</x:v>
      </x:c>
      <x:c r="R124" s="44" t="n">
        <x:v>0.08873292058706284</x:v>
      </x:c>
      <x:c r="S124" s="44" t="n">
        <x:v>875</x:v>
      </x:c>
      <x:c r="T124" s="44" t="n">
        <x:v>0.018285714285714287</x:v>
      </x:c>
      <x:c r="U124" s="44" t="n">
        <x:v>0.025142857142857144</x:v>
      </x:c>
      <x:c r="V124" s="44" t="n">
        <x:v>0.3554285714285714</x:v>
      </x:c>
      <x:c r="W124" s="44" t="n">
        <x:v>0.248</x:v>
      </x:c>
      <x:c r="X124" s="44" t="n">
        <x:v>0.35314285714285715</x:v>
      </x:c>
      <x:c r="Y124" s="44" t="n">
        <x:v>0</x:v>
      </x:c>
      <x:c r="Z124" s="44" t="n">
        <x:v>0.27647058823529413</x:v>
      </x:c>
      <x:c r="AA124" s="45" t="n">
        <x:v>0.8529411764705882</x:v>
      </x:c>
      <x:c r="AB124" s="45" t="n">
        <x:v>0.28823529411764703</x:v>
      </x:c>
      <x:c r="AC124" s="45" t="n">
        <x:v>0.2411764705882353</x:v>
      </x:c>
      <x:c r="AD124" s="44" t="n">
        <x:v>0.7352941176470589</x:v>
      </x:c>
      <x:c r="AE124" s="44" t="n">
        <x:v>0.2823529411764706</x:v>
      </x:c>
      <x:c r="AF124" s="45" t="n">
        <x:v>0.5676470588235294</x:v>
      </x:c>
      <x:c r="AG124" s="45" t="n">
        <x:v>0.4705882352941176</x:v>
      </x:c>
      <x:c r="AH124" s="44" t="n">
        <x:v>0.4411764705882353</x:v>
      </x:c>
      <x:c r="AI124" s="44" t="n">
        <x:v>0.47058823529411764</x:v>
      </x:c>
      <x:c r="AJ124" s="45" t="n">
        <x:v>0.5</x:v>
      </x:c>
      <x:c r="AK124" s="45" t="n">
        <x:v>0.5259259259259259</x:v>
      </x:c>
      <x:c r="AL124" s="45" t="n">
        <x:v>0.5213870733478576</x:v>
      </x:c>
      <x:c r="AM124" s="44" t="n">
        <x:v>0.5191176470588235</x:v>
      </x:c>
    </x:row>
    <x:row r="125" ht="15" hidden="0" customHeight="1">
      <x:c r="A125" s="44" t="str">
        <x:v>139-009</x:v>
      </x:c>
      <x:c r="B125" s="44" t="str">
        <x:v>Giri complex of monuments</x:v>
      </x:c>
      <x:c r="C125" s="44" t="n">
        <x:v>500</x:v>
      </x:c>
      <x:c r="D125" s="44" t="str">
        <x:v>E2004</x:v>
      </x:c>
      <x:c r="E125" s="44" t="n">
        <x:v>2004</x:v>
      </x:c>
      <x:c r="F125" s="44" t="n">
        <x:v>874</x:v>
      </x:c>
      <x:c r="G125" s="45" t="n">
        <x:v>0.542160153388977</x:v>
      </x:c>
      <x:c r="H125" s="44" t="n">
        <x:v>0.4540861248970032</x:v>
      </x:c>
      <x:c r="I125" s="44" t="n">
        <x:v>0.6120544672012329</x:v>
      </x:c>
      <x:c r="J125" s="45" t="n">
        <x:v>-0.15033701062202454</x:v>
      </x:c>
      <x:c r="K125" s="44" t="n">
        <x:v>-0.25150933861732483</x:v>
      </x:c>
      <x:c r="L125" s="44" t="n">
        <x:v>-0.05088275298476219</x:v>
      </x:c>
      <x:c r="M125" s="45" t="n">
        <x:v>-0.43396514654159546</x:v>
      </x:c>
      <x:c r="N125" s="44" t="n">
        <x:v>-0.4733435809612274</x:v>
      </x:c>
      <x:c r="O125" s="44" t="n">
        <x:v>-0.3576241433620453</x:v>
      </x:c>
      <x:c r="P125" s="45" t="n">
        <x:v>-0.07043983787298203</x:v>
      </x:c>
      <x:c r="Q125" s="44" t="n">
        <x:v>-0.15917865931987762</x:v>
      </x:c>
      <x:c r="R125" s="44" t="n">
        <x:v>0.0252560842782259</x:v>
      </x:c>
      <x:c r="S125" s="44" t="n">
        <x:v>874</x:v>
      </x:c>
      <x:c r="T125" s="44" t="n">
        <x:v>0</x:v>
      </x:c>
      <x:c r="U125" s="44" t="n">
        <x:v>0</x:v>
      </x:c>
      <x:c r="V125" s="44" t="n">
        <x:v>0.09153318077803203</x:v>
      </x:c>
      <x:c r="W125" s="44" t="n">
        <x:v>0.6464530892448512</x:v>
      </x:c>
      <x:c r="X125" s="44" t="n">
        <x:v>0.2620137299771167</x:v>
      </x:c>
      <x:c r="Y125" s="44" t="n">
        <x:v>0</x:v>
      </x:c>
      <x:c r="Z125" s="44" t="n">
        <x:v>0.13529411764705881</x:v>
      </x:c>
      <x:c r="AA125" s="45" t="n">
        <x:v>0.8647058823529412</x:v>
      </x:c>
      <x:c r="AB125" s="45" t="n">
        <x:v>0.11176470588235295</x:v>
      </x:c>
      <x:c r="AC125" s="45" t="n">
        <x:v>0.023529411764705882</x:v>
      </x:c>
      <x:c r="AD125" s="44" t="n">
        <x:v>0.15294117647058825</x:v>
      </x:c>
      <x:c r="AE125" s="44" t="n">
        <x:v>0.12352941176470589</x:v>
      </x:c>
      <x:c r="AF125" s="45" t="n">
        <x:v>0.49411764705882355</x:v>
      </x:c>
      <x:c r="AG125" s="45" t="n">
        <x:v>0.676470588235294</x:v>
      </x:c>
      <x:c r="AH125" s="44" t="n">
        <x:v>0.7941176470588235</x:v>
      </x:c>
      <x:c r="AI125" s="44" t="n">
        <x:v>0.2647058823529412</x:v>
      </x:c>
      <x:c r="AJ125" s="45" t="n">
        <x:v>0.9705882352941176</x:v>
      </x:c>
      <x:c r="AK125" s="45" t="n">
        <x:v>0.5166666666666666</x:v>
      </x:c>
      <x:c r="AL125" s="45" t="n">
        <x:v>0.5624183006535947</x:v>
      </x:c>
      <x:c r="AM125" s="44" t="n">
        <x:v>0.5852941176470587</x:v>
      </x:c>
    </x:row>
    <x:row r="126" ht="15" hidden="0" customHeight="1">
      <x:c r="A126" s="44" t="str">
        <x:v>139-009</x:v>
      </x:c>
      <x:c r="B126" s="44" t="str">
        <x:v>Giri complex of monuments</x:v>
      </x:c>
      <x:c r="C126" s="44" t="n">
        <x:v>500</x:v>
      </x:c>
      <x:c r="D126" s="44" t="str">
        <x:v>E2009</x:v>
      </x:c>
      <x:c r="E126" s="44" t="n">
        <x:v>2009</x:v>
      </x:c>
      <x:c r="F126" s="44" t="n">
        <x:v>874</x:v>
      </x:c>
      <x:c r="G126" s="45" t="n">
        <x:v>0.4930008351802826</x:v>
      </x:c>
      <x:c r="H126" s="44" t="n">
        <x:v>0.4039338529109955</x:v>
      </x:c>
      <x:c r="I126" s="44" t="n">
        <x:v>0.5807534456253052</x:v>
      </x:c>
      <x:c r="J126" s="45" t="n">
        <x:v>-0.11426102370023727</x:v>
      </x:c>
      <x:c r="K126" s="44" t="n">
        <x:v>-0.2124820053577423</x:v>
      </x:c>
      <x:c r="L126" s="44" t="n">
        <x:v>-0.011467513628304005</x:v>
      </x:c>
      <x:c r="M126" s="45" t="n">
        <x:v>-0.42938703298568726</x:v>
      </x:c>
      <x:c r="N126" s="44" t="n">
        <x:v>-0.4709260165691376</x:v>
      </x:c>
      <x:c r="O126" s="44" t="n">
        <x:v>-0.3570939004421234</x:v>
      </x:c>
      <x:c r="P126" s="45" t="n">
        <x:v>-0.036307383328676224</x:v>
      </x:c>
      <x:c r="Q126" s="44" t="n">
        <x:v>-0.12914079427719116</x:v>
      </x:c>
      <x:c r="R126" s="44" t="n">
        <x:v>0.05696088820695877</x:v>
      </x:c>
      <x:c r="S126" s="44" t="n">
        <x:v>874</x:v>
      </x:c>
      <x:c r="T126" s="44" t="n">
        <x:v>0.011441647597254004</x:v>
      </x:c>
      <x:c r="U126" s="44" t="n">
        <x:v>0</x:v>
      </x:c>
      <x:c r="V126" s="44" t="n">
        <x:v>0.20594965675057209</x:v>
      </x:c>
      <x:c r="W126" s="44" t="n">
        <x:v>0.459954233409611</x:v>
      </x:c>
      <x:c r="X126" s="44" t="n">
        <x:v>0.32265446224256294</x:v>
      </x:c>
      <x:c r="Y126" s="44" t="n">
        <x:v>0</x:v>
      </x:c>
      <x:c r="Z126" s="44" t="n">
        <x:v>0.2529411764705882</x:v>
      </x:c>
      <x:c r="AA126" s="45" t="n">
        <x:v>0.7705882352941177</x:v>
      </x:c>
      <x:c r="AB126" s="45" t="n">
        <x:v>0.21764705882352942</x:v>
      </x:c>
      <x:c r="AC126" s="45" t="n">
        <x:v>0.18235294117647058</x:v>
      </x:c>
      <x:c r="AD126" s="44" t="n">
        <x:v>0.15294117647058825</x:v>
      </x:c>
      <x:c r="AE126" s="44" t="n">
        <x:v>0.23529411764705882</x:v>
      </x:c>
      <x:c r="AF126" s="45" t="n">
        <x:v>0.5029411764705882</x:v>
      </x:c>
      <x:c r="AG126" s="45" t="n">
        <x:v>0.676470588235294</x:v>
      </x:c>
      <x:c r="AH126" s="44" t="n">
        <x:v>0.7941176470588235</x:v>
      </x:c>
      <x:c r="AI126" s="44" t="n">
        <x:v>0.2647058823529412</x:v>
      </x:c>
      <x:c r="AJ126" s="45" t="n">
        <x:v>0.9705882352941176</x:v>
      </x:c>
      <x:c r="AK126" s="45" t="n">
        <x:v>0.462037037037037</x:v>
      </x:c>
      <x:c r="AL126" s="45" t="n">
        <x:v>0.5471496005809731</x:v>
      </x:c>
      <x:c r="AM126" s="44" t="n">
        <x:v>0.5897058823529411</x:v>
      </x:c>
    </x:row>
    <x:row r="127" ht="15" hidden="0" customHeight="1">
      <x:c r="A127" s="44" t="str">
        <x:v>139-009</x:v>
      </x:c>
      <x:c r="B127" s="44" t="str">
        <x:v>Giri complex of monuments</x:v>
      </x:c>
      <x:c r="C127" s="44" t="n">
        <x:v>500</x:v>
      </x:c>
      <x:c r="D127" s="44" t="str">
        <x:v>E2014</x:v>
      </x:c>
      <x:c r="E127" s="44" t="n">
        <x:v>2014</x:v>
      </x:c>
      <x:c r="F127" s="44" t="n">
        <x:v>872</x:v>
      </x:c>
      <x:c r="G127" s="45" t="n">
        <x:v>0.5702353715896606</x:v>
      </x:c>
      <x:c r="H127" s="44" t="n">
        <x:v>0.4345575273036957</x:v>
      </x:c>
      <x:c r="I127" s="44" t="n">
        <x:v>0.677579939365387</x:v>
      </x:c>
      <x:c r="J127" s="45" t="n">
        <x:v>-0.1507890820503235</x:v>
      </x:c>
      <x:c r="K127" s="44" t="n">
        <x:v>-0.28620919585227966</x:v>
      </x:c>
      <x:c r="L127" s="44" t="n">
        <x:v>-0.020142972469329834</x:v>
      </x:c>
      <x:c r="M127" s="45" t="n">
        <x:v>-0.4570188522338867</x:v>
      </x:c>
      <x:c r="N127" s="44" t="n">
        <x:v>-0.49139609932899475</x:v>
      </x:c>
      <x:c r="O127" s="44" t="n">
        <x:v>-0.37629789113998413</x:v>
      </x:c>
      <x:c r="P127" s="45" t="n">
        <x:v>-0.07320841401815414</x:v>
      </x:c>
      <x:c r="Q127" s="44" t="n">
        <x:v>-0.19757875800132751</x:v>
      </x:c>
      <x:c r="R127" s="44" t="n">
        <x:v>0.04670003429055214</x:v>
      </x:c>
      <x:c r="S127" s="44" t="n">
        <x:v>872</x:v>
      </x:c>
      <x:c r="T127" s="44" t="n">
        <x:v>0.0011467889908256881</x:v>
      </x:c>
      <x:c r="U127" s="44" t="n">
        <x:v>0</x:v>
      </x:c>
      <x:c r="V127" s="44" t="n">
        <x:v>0.0676605504587156</x:v>
      </x:c>
      <x:c r="W127" s="44" t="n">
        <x:v>0.6238532110091743</x:v>
      </x:c>
      <x:c r="X127" s="44" t="n">
        <x:v>0.3073394495412844</x:v>
      </x:c>
      <x:c r="Y127" s="44" t="n">
        <x:v>0</x:v>
      </x:c>
      <x:c r="Z127" s="44" t="n">
        <x:v>0.06470588235294118</x:v>
      </x:c>
      <x:c r="AA127" s="45" t="n">
        <x:v>0.9823529411764705</x:v>
      </x:c>
      <x:c r="AB127" s="45" t="n">
        <x:v>0.08823529411764706</x:v>
      </x:c>
      <x:c r="AC127" s="45" t="n">
        <x:v>0.08823529411764706</x:v>
      </x:c>
      <x:c r="AD127" s="44" t="n">
        <x:v>0.15294117647058825</x:v>
      </x:c>
      <x:c r="AE127" s="44" t="n">
        <x:v>0.07647058823529412</x:v>
      </x:c>
      <x:c r="AF127" s="45" t="n">
        <x:v>0.5294117647058824</x:v>
      </x:c>
      <x:c r="AG127" s="45" t="n">
        <x:v>0.676470588235294</x:v>
      </x:c>
      <x:c r="AH127" s="44" t="n">
        <x:v>0.7941176470588235</x:v>
      </x:c>
      <x:c r="AI127" s="44" t="n">
        <x:v>0.2647058823529412</x:v>
      </x:c>
      <x:c r="AJ127" s="45" t="n">
        <x:v>0.9705882352941176</x:v>
      </x:c>
      <x:c r="AK127" s="45" t="n">
        <x:v>0.4842592592592592</x:v>
      </x:c>
      <x:c r="AL127" s="45" t="n">
        <x:v>0.5633805374001452</x:v>
      </x:c>
      <x:c r="AM127" s="44" t="n">
        <x:v>0.6029411764705882</x:v>
      </x:c>
    </x:row>
    <x:row r="128" ht="15" hidden="0" customHeight="1">
      <x:c r="A128" s="44" t="str">
        <x:v>139-009</x:v>
      </x:c>
      <x:c r="B128" s="44" t="str">
        <x:v>Giri complex of monuments</x:v>
      </x:c>
      <x:c r="C128" s="44" t="n">
        <x:v>500</x:v>
      </x:c>
      <x:c r="D128" s="44" t="str">
        <x:v>E2019</x:v>
      </x:c>
      <x:c r="E128" s="44" t="n">
        <x:v>2019</x:v>
      </x:c>
      <x:c r="F128" s="44" t="n">
        <x:v>871</x:v>
      </x:c>
      <x:c r="G128" s="45" t="n">
        <x:v>0.5424619317054749</x:v>
      </x:c>
      <x:c r="H128" s="44" t="n">
        <x:v>0.3831650912761688</x:v>
      </x:c>
      <x:c r="I128" s="44" t="n">
        <x:v>0.6806377172470093</x:v>
      </x:c>
      <x:c r="J128" s="45" t="n">
        <x:v>-0.13703285157680511</x:v>
      </x:c>
      <x:c r="K128" s="44" t="n">
        <x:v>-0.28296637535095215</x:v>
      </x:c>
      <x:c r="L128" s="44" t="n">
        <x:v>-0.001366542070172727</x:v>
      </x:c>
      <x:c r="M128" s="45" t="n">
        <x:v>-0.4496994912624359</x:v>
      </x:c>
      <x:c r="N128" s="44" t="n">
        <x:v>-0.48500874638557434</x:v>
      </x:c>
      <x:c r="O128" s="44" t="n">
        <x:v>-0.3843662440776825</x:v>
      </x:c>
      <x:c r="P128" s="45" t="n">
        <x:v>-0.054882243275642395</x:v>
      </x:c>
      <x:c r="Q128" s="44" t="n">
        <x:v>-0.19440966844558716</x:v>
      </x:c>
      <x:c r="R128" s="44" t="n">
        <x:v>0.06824217736721039</x:v>
      </x:c>
      <x:c r="S128" s="44" t="n">
        <x:v>871</x:v>
      </x:c>
      <x:c r="T128" s="44" t="n">
        <x:v>0.004592422502870264</x:v>
      </x:c>
      <x:c r="U128" s="44" t="n">
        <x:v>0.012629161882893225</x:v>
      </x:c>
      <x:c r="V128" s="44" t="n">
        <x:v>0.1010332950631458</x:v>
      </x:c>
      <x:c r="W128" s="44" t="n">
        <x:v>0.5166475315729047</x:v>
      </x:c>
      <x:c r="X128" s="44" t="n">
        <x:v>0.365097588978186</x:v>
      </x:c>
      <x:c r="Y128" s="44" t="n">
        <x:v>0</x:v>
      </x:c>
      <x:c r="Z128" s="44" t="n">
        <x:v>0.12352941176470589</x:v>
      </x:c>
      <x:c r="AA128" s="45" t="n">
        <x:v>0.9352941176470588</x:v>
      </x:c>
      <x:c r="AB128" s="45" t="n">
        <x:v>0.1588235294117647</x:v>
      </x:c>
      <x:c r="AC128" s="45" t="n">
        <x:v>0.11176470588235295</x:v>
      </x:c>
      <x:c r="AD128" s="44" t="n">
        <x:v>0.5823529411764706</x:v>
      </x:c>
      <x:c r="AE128" s="44" t="n">
        <x:v>0.1411764705882353</x:v>
      </x:c>
      <x:c r="AF128" s="45" t="n">
        <x:v>0.538235294117647</x:v>
      </x:c>
      <x:c r="AG128" s="45" t="n">
        <x:v>0.676470588235294</x:v>
      </x:c>
      <x:c r="AH128" s="44" t="n">
        <x:v>0.7941176470588235</x:v>
      </x:c>
      <x:c r="AI128" s="44" t="n">
        <x:v>0.2647058823529412</x:v>
      </x:c>
      <x:c r="AJ128" s="45" t="n">
        <x:v>0.9705882352941176</x:v>
      </x:c>
      <x:c r="AK128" s="45" t="n">
        <x:v>0.3138888888888889</x:v>
      </x:c>
      <x:c r="AL128" s="45" t="n">
        <x:v>0.5095315904139434</x:v>
      </x:c>
      <x:c r="AM128" s="44" t="n">
        <x:v>0.6073529411764705</x:v>
      </x:c>
    </x:row>
    <x:row r="129" ht="15" hidden="0" customHeight="1">
      <x:c r="A129" s="44" t="str">
        <x:v>139-009</x:v>
      </x:c>
      <x:c r="B129" s="44" t="str">
        <x:v>Giri complex of monuments</x:v>
      </x:c>
      <x:c r="C129" s="44" t="n">
        <x:v>500</x:v>
      </x:c>
      <x:c r="D129" s="44" t="str">
        <x:v>E2024</x:v>
      </x:c>
      <x:c r="E129" s="44" t="n">
        <x:v>2024</x:v>
      </x:c>
      <x:c r="F129" s="44" t="n">
        <x:v>874</x:v>
      </x:c>
      <x:c r="G129" s="45" t="n">
        <x:v>0.6325656175613403</x:v>
      </x:c>
      <x:c r="H129" s="44" t="n">
        <x:v>0.5029746294021606</x:v>
      </x:c>
      <x:c r="I129" s="44" t="n">
        <x:v>0.7297542691230774</x:v>
      </x:c>
      <x:c r="J129" s="45" t="n">
        <x:v>-0.20445480942726135</x:v>
      </x:c>
      <x:c r="K129" s="44" t="n">
        <x:v>-0.3134707808494568</x:v>
      </x:c>
      <x:c r="L129" s="44" t="n">
        <x:v>-0.0794079378247261</x:v>
      </x:c>
      <x:c r="M129" s="45" t="n">
        <x:v>-0.45923179388046265</x:v>
      </x:c>
      <x:c r="N129" s="44" t="n">
        <x:v>-0.48904362320899963</x:v>
      </x:c>
      <x:c r="O129" s="44" t="n">
        <x:v>-0.41282087564468384</x:v>
      </x:c>
      <x:c r="P129" s="45" t="n">
        <x:v>-0.12202374637126923</x:v>
      </x:c>
      <x:c r="Q129" s="44" t="n">
        <x:v>-0.2324400693178177</x:v>
      </x:c>
      <x:c r="R129" s="44" t="n">
        <x:v>-0.005435208790004253</x:v>
      </x:c>
      <x:c r="S129" s="44" t="n">
        <x:v>874</x:v>
      </x:c>
      <x:c r="T129" s="44" t="n">
        <x:v>0.0011441647597254005</x:v>
      </x:c>
      <x:c r="U129" s="44" t="n">
        <x:v>0</x:v>
      </x:c>
      <x:c r="V129" s="44" t="n">
        <x:v>0.04233409610983982</x:v>
      </x:c>
      <x:c r="W129" s="44" t="n">
        <x:v>0.7929061784897025</x:v>
      </x:c>
      <x:c r="X129" s="44" t="n">
        <x:v>0.16361556064073227</x:v>
      </x:c>
      <x:c r="Y129" s="44" t="n">
        <x:v>0</x:v>
      </x:c>
      <x:c r="Z129" s="44" t="n">
        <x:v>0.01764705882352941</x:v>
      </x:c>
      <x:c r="AA129" s="45" t="n">
        <x:v>0.9941176470588236</x:v>
      </x:c>
      <x:c r="AB129" s="45" t="n">
        <x:v>0.01764705882352941</x:v>
      </x:c>
      <x:c r="AC129" s="45" t="n">
        <x:v>0.07058823529411765</x:v>
      </x:c>
      <x:c r="AD129" s="44" t="n">
        <x:v>0.15294117647058825</x:v>
      </x:c>
      <x:c r="AE129" s="44" t="n">
        <x:v>0.01764705882352941</x:v>
      </x:c>
      <x:c r="AF129" s="45" t="n">
        <x:v>0.5058823529411764</x:v>
      </x:c>
      <x:c r="AG129" s="45" t="n">
        <x:v>0.676470588235294</x:v>
      </x:c>
      <x:c r="AH129" s="44" t="n">
        <x:v>0.7941176470588235</x:v>
      </x:c>
      <x:c r="AI129" s="44" t="n">
        <x:v>0.2647058823529412</x:v>
      </x:c>
      <x:c r="AJ129" s="45" t="n">
        <x:v>0.9705882352941176</x:v>
      </x:c>
      <x:c r="AK129" s="45" t="n">
        <x:v>0.5259259259259259</x:v>
      </x:c>
      <x:c r="AL129" s="45" t="n">
        <x:v>0.5694262890341321</x:v>
      </x:c>
      <x:c r="AM129" s="44" t="n">
        <x:v>0.5911764705882352</x:v>
      </x:c>
    </x:row>
    <x:row r="130" ht="15" hidden="0" customHeight="1">
      <x:c r="A130" s="44" t="str">
        <x:v>139-010</x:v>
      </x:c>
      <x:c r="B130" s="44" t="str">
        <x:v>Kunala stupa and monastery</x:v>
      </x:c>
      <x:c r="C130" s="44" t="n">
        <x:v>500</x:v>
      </x:c>
      <x:c r="D130" s="44" t="str">
        <x:v>E2004</x:v>
      </x:c>
      <x:c r="E130" s="44" t="n">
        <x:v>2004</x:v>
      </x:c>
      <x:c r="F130" s="44" t="n">
        <x:v>872</x:v>
      </x:c>
      <x:c r="G130" s="45" t="n">
        <x:v>0.3203945457935333</x:v>
      </x:c>
      <x:c r="H130" s="44" t="n">
        <x:v>0.24992699921131134</x:v>
      </x:c>
      <x:c r="I130" s="44" t="n">
        <x:v>0.4122108519077301</x:v>
      </x:c>
      <x:c r="J130" s="45" t="n">
        <x:v>0.027997205033898354</x:v>
      </x:c>
      <x:c r="K130" s="44" t="n">
        <x:v>-0.05571330711245537</x:v>
      </x:c>
      <x:c r="L130" s="44" t="n">
        <x:v>0.07325921207666397</x:v>
      </x:c>
      <x:c r="M130" s="45" t="n">
        <x:v>-0.42343926429748535</x:v>
      </x:c>
      <x:c r="N130" s="44" t="n">
        <x:v>-0.45717617869377136</x:v>
      </x:c>
      <x:c r="O130" s="44" t="n">
        <x:v>-0.3920648694038391</x:v>
      </x:c>
      <x:c r="P130" s="45" t="n">
        <x:v>0.10282455384731293</x:v>
      </x:c>
      <x:c r="Q130" s="44" t="n">
        <x:v>0.02610139548778534</x:v>
      </x:c>
      <x:c r="R130" s="44" t="n">
        <x:v>0.14840617775917053</x:v>
      </x:c>
      <x:c r="S130" s="44" t="n">
        <x:v>872</x:v>
      </x:c>
      <x:c r="T130" s="44" t="n">
        <x:v>0.06422018348623854</x:v>
      </x:c>
      <x:c r="U130" s="44" t="n">
        <x:v>0.0768348623853211</x:v>
      </x:c>
      <x:c r="V130" s="44" t="n">
        <x:v>0.6158256880733946</x:v>
      </x:c>
      <x:c r="W130" s="44" t="n">
        <x:v>0.008027522935779817</x:v>
      </x:c>
      <x:c r="X130" s="44" t="n">
        <x:v>0.23509174311926606</x:v>
      </x:c>
      <x:c r="Y130" s="44" t="n">
        <x:v>0</x:v>
      </x:c>
      <x:c r="Z130" s="44" t="n">
        <x:v>0.9470588235294117</x:v>
      </x:c>
      <x:c r="AA130" s="45" t="n">
        <x:v>0.6411764705882353</x:v>
      </x:c>
      <x:c r="AB130" s="45" t="n">
        <x:v>0.9588235294117647</x:v>
      </x:c>
      <x:c r="AC130" s="45" t="n">
        <x:v>0.5352941176470588</x:v>
      </x:c>
      <x:c r="AD130" s="44" t="n">
        <x:v>0.888235294117647</x:v>
      </x:c>
      <x:c r="AE130" s="44" t="n">
        <x:v>0.9529411764705882</x:v>
      </x:c>
      <x:c r="AF130" s="45" t="n">
        <x:v>0.7970588235294118</x:v>
      </x:c>
      <x:c r="AG130" s="45" t="n">
        <x:v>0.46078431372549017</x:v>
      </x:c>
      <x:c r="AH130" s="44" t="n">
        <x:v>0.6764705882352942</x:v>
      </x:c>
      <x:c r="AI130" s="44" t="n">
        <x:v>0.38235294117647056</x:v>
      </x:c>
      <x:c r="AJ130" s="45" t="n">
        <x:v>0.3235294117647059</x:v>
      </x:c>
      <x:c r="AK130" s="45" t="n">
        <x:v>0.5166666666666666</x:v>
      </x:c>
      <x:c r="AL130" s="45" t="n">
        <x:v>0.5915032679738562</x:v>
      </x:c>
      <x:c r="AM130" s="44" t="n">
        <x:v>0.628921568627451</x:v>
      </x:c>
    </x:row>
    <x:row r="131" ht="15" hidden="0" customHeight="1">
      <x:c r="A131" s="44" t="str">
        <x:v>139-010</x:v>
      </x:c>
      <x:c r="B131" s="44" t="str">
        <x:v>Kunala stupa and monastery</x:v>
      </x:c>
      <x:c r="C131" s="44" t="n">
        <x:v>500</x:v>
      </x:c>
      <x:c r="D131" s="44" t="str">
        <x:v>E2009</x:v>
      </x:c>
      <x:c r="E131" s="44" t="n">
        <x:v>2009</x:v>
      </x:c>
      <x:c r="F131" s="44" t="n">
        <x:v>872</x:v>
      </x:c>
      <x:c r="G131" s="45" t="n">
        <x:v>0.30164635181427</x:v>
      </x:c>
      <x:c r="H131" s="44" t="n">
        <x:v>0.2391311228275299</x:v>
      </x:c>
      <x:c r="I131" s="44" t="n">
        <x:v>0.39663955569267273</x:v>
      </x:c>
      <x:c r="J131" s="45" t="n">
        <x:v>0.03232135623693466</x:v>
      </x:c>
      <x:c r="K131" s="44" t="n">
        <x:v>-0.049759626388549805</x:v>
      </x:c>
      <x:c r="L131" s="44" t="n">
        <x:v>0.07604595273733139</x:v>
      </x:c>
      <x:c r="M131" s="45" t="n">
        <x:v>-0.4145629107952118</x:v>
      </x:c>
      <x:c r="N131" s="44" t="n">
        <x:v>-0.4509448707103729</x:v>
      </x:c>
      <x:c r="O131" s="44" t="n">
        <x:v>-0.3733757436275482</x:v>
      </x:c>
      <x:c r="P131" s="45" t="n">
        <x:v>0.10554090887308121</x:v>
      </x:c>
      <x:c r="Q131" s="44" t="n">
        <x:v>0.027856305241584778</x:v>
      </x:c>
      <x:c r="R131" s="44" t="n">
        <x:v>0.14368034899234772</x:v>
      </x:c>
      <x:c r="S131" s="44" t="n">
        <x:v>872</x:v>
      </x:c>
      <x:c r="T131" s="44" t="n">
        <x:v>0.11697247706422019</x:v>
      </x:c>
      <x:c r="U131" s="44" t="n">
        <x:v>0.09288990825688073</x:v>
      </x:c>
      <x:c r="V131" s="44" t="n">
        <x:v>0.5894495412844036</x:v>
      </x:c>
      <x:c r="W131" s="44" t="n">
        <x:v>0.0045871559633027525</x:v>
      </x:c>
      <x:c r="X131" s="44" t="n">
        <x:v>0.19610091743119265</x:v>
      </x:c>
      <x:c r="Y131" s="44" t="n">
        <x:v>0</x:v>
      </x:c>
      <x:c r="Z131" s="44" t="n">
        <x:v>0.9823529411764705</x:v>
      </x:c>
      <x:c r="AA131" s="45" t="n">
        <x:v>0.37058823529411766</x:v>
      </x:c>
      <x:c r="AB131" s="45" t="n">
        <x:v>0.9823529411764705</x:v>
      </x:c>
      <x:c r="AC131" s="45" t="n">
        <x:v>0.7235294117647059</x:v>
      </x:c>
      <x:c r="AD131" s="44" t="n">
        <x:v>0.9235294117647059</x:v>
      </x:c>
      <x:c r="AE131" s="44" t="n">
        <x:v>0.9823529411764705</x:v>
      </x:c>
      <x:c r="AF131" s="45" t="n">
        <x:v>0.6764705882352942</x:v>
      </x:c>
      <x:c r="AG131" s="45" t="n">
        <x:v>0.46078431372549017</x:v>
      </x:c>
      <x:c r="AH131" s="44" t="n">
        <x:v>0.6764705882352942</x:v>
      </x:c>
      <x:c r="AI131" s="44" t="n">
        <x:v>0.38235294117647056</x:v>
      </x:c>
      <x:c r="AJ131" s="45" t="n">
        <x:v>0.3235294117647059</x:v>
      </x:c>
      <x:c r="AK131" s="45" t="n">
        <x:v>0.462037037037037</x:v>
      </x:c>
      <x:c r="AL131" s="45" t="n">
        <x:v>0.5330973129992738</x:v>
      </x:c>
      <x:c r="AM131" s="44" t="n">
        <x:v>0.5686274509803921</x:v>
      </x:c>
    </x:row>
    <x:row r="132" ht="15" hidden="0" customHeight="1">
      <x:c r="A132" s="44" t="str">
        <x:v>139-010</x:v>
      </x:c>
      <x:c r="B132" s="44" t="str">
        <x:v>Kunala stupa and monastery</x:v>
      </x:c>
      <x:c r="C132" s="44" t="n">
        <x:v>500</x:v>
      </x:c>
      <x:c r="D132" s="44" t="str">
        <x:v>E2014</x:v>
      </x:c>
      <x:c r="E132" s="44" t="n">
        <x:v>2014</x:v>
      </x:c>
      <x:c r="F132" s="44" t="n">
        <x:v>872</x:v>
      </x:c>
      <x:c r="G132" s="45" t="n">
        <x:v>0.33975422382354736</x:v>
      </x:c>
      <x:c r="H132" s="44" t="n">
        <x:v>0.24452273547649384</x:v>
      </x:c>
      <x:c r="I132" s="44" t="n">
        <x:v>0.4713219702243805</x:v>
      </x:c>
      <x:c r="J132" s="45" t="n">
        <x:v>0.013966168276965618</x:v>
      </x:c>
      <x:c r="K132" s="44" t="n">
        <x:v>-0.07857140898704529</x:v>
      </x:c>
      <x:c r="L132" s="44" t="n">
        <x:v>0.07277343422174454</x:v>
      </x:c>
      <x:c r="M132" s="45" t="n">
        <x:v>-0.40531808137893677</x:v>
      </x:c>
      <x:c r="N132" s="44" t="n">
        <x:v>-0.45878711342811584</x:v>
      </x:c>
      <x:c r="O132" s="44" t="n">
        <x:v>-0.37537437677383423</x:v>
      </x:c>
      <x:c r="P132" s="45" t="n">
        <x:v>0.08436828851699829</x:v>
      </x:c>
      <x:c r="Q132" s="44" t="n">
        <x:v>-0.001055025844834745</x:v>
      </x:c>
      <x:c r="R132" s="44" t="n">
        <x:v>0.1335260272026062</x:v>
      </x:c>
      <x:c r="S132" s="44" t="n">
        <x:v>872</x:v>
      </x:c>
      <x:c r="T132" s="44" t="n">
        <x:v>0.10321100917431193</x:v>
      </x:c>
      <x:c r="U132" s="44" t="n">
        <x:v>0.03669724770642202</x:v>
      </x:c>
      <x:c r="V132" s="44" t="n">
        <x:v>0.5378440366972477</x:v>
      </x:c>
      <x:c r="W132" s="44" t="n">
        <x:v>0.04243119266055046</x:v>
      </x:c>
      <x:c r="X132" s="44" t="n">
        <x:v>0.2798165137614679</x:v>
      </x:c>
      <x:c r="Y132" s="44" t="n">
        <x:v>0</x:v>
      </x:c>
      <x:c r="Z132" s="44" t="n">
        <x:v>0.9</x:v>
      </x:c>
      <x:c r="AA132" s="45" t="n">
        <x:v>0.14705882352941177</x:v>
      </x:c>
      <x:c r="AB132" s="45" t="n">
        <x:v>0.9117647058823529</x:v>
      </x:c>
      <x:c r="AC132" s="45" t="n">
        <x:v>0.6529411764705882</x:v>
      </x:c>
      <x:c r="AD132" s="44" t="n">
        <x:v>0.8058823529411765</x:v>
      </x:c>
      <x:c r="AE132" s="44" t="n">
        <x:v>0.9058823529411765</x:v>
      </x:c>
      <x:c r="AF132" s="45" t="n">
        <x:v>0.5264705882352941</x:v>
      </x:c>
      <x:c r="AG132" s="45" t="n">
        <x:v>0.46078431372549017</x:v>
      </x:c>
      <x:c r="AH132" s="44" t="n">
        <x:v>0.6764705882352942</x:v>
      </x:c>
      <x:c r="AI132" s="44" t="n">
        <x:v>0.38235294117647056</x:v>
      </x:c>
      <x:c r="AJ132" s="45" t="n">
        <x:v>0.3235294117647059</x:v>
      </x:c>
      <x:c r="AK132" s="45" t="n">
        <x:v>0.4842592592592592</x:v>
      </x:c>
      <x:c r="AL132" s="45" t="n">
        <x:v>0.4905047204066812</x:v>
      </x:c>
      <x:c r="AM132" s="44" t="n">
        <x:v>0.4936274509803922</x:v>
      </x:c>
    </x:row>
    <x:row r="133" ht="15" hidden="0" customHeight="1">
      <x:c r="A133" s="44" t="str">
        <x:v>139-010</x:v>
      </x:c>
      <x:c r="B133" s="44" t="str">
        <x:v>Kunala stupa and monastery</x:v>
      </x:c>
      <x:c r="C133" s="44" t="n">
        <x:v>500</x:v>
      </x:c>
      <x:c r="D133" s="44" t="str">
        <x:v>E2019</x:v>
      </x:c>
      <x:c r="E133" s="44" t="n">
        <x:v>2019</x:v>
      </x:c>
      <x:c r="F133" s="44" t="n">
        <x:v>872</x:v>
      </x:c>
      <x:c r="G133" s="45" t="n">
        <x:v>0.37095481157302856</x:v>
      </x:c>
      <x:c r="H133" s="44" t="n">
        <x:v>0.27436795830726624</x:v>
      </x:c>
      <x:c r="I133" s="44" t="n">
        <x:v>0.4935906231403351</x:v>
      </x:c>
      <x:c r="J133" s="45" t="n">
        <x:v>-0.009928625077009201</x:v>
      </x:c>
      <x:c r="K133" s="44" t="n">
        <x:v>-0.09533599764108658</x:v>
      </x:c>
      <x:c r="L133" s="44" t="n">
        <x:v>0.04811552166938782</x:v>
      </x:c>
      <x:c r="M133" s="45" t="n">
        <x:v>-0.4135550260543823</x:v>
      </x:c>
      <x:c r="N133" s="44" t="n">
        <x:v>-0.4574275612831116</x:v>
      </x:c>
      <x:c r="O133" s="44" t="n">
        <x:v>-0.37590286135673523</x:v>
      </x:c>
      <x:c r="P133" s="45" t="n">
        <x:v>0.06428965926170349</x:v>
      </x:c>
      <x:c r="Q133" s="44" t="n">
        <x:v>-0.018652180209755898</x:v>
      </x:c>
      <x:c r="R133" s="44" t="n">
        <x:v>0.11320959031581879</x:v>
      </x:c>
      <x:c r="S133" s="44" t="n">
        <x:v>872</x:v>
      </x:c>
      <x:c r="T133" s="44" t="n">
        <x:v>0.06536697247706422</x:v>
      </x:c>
      <x:c r="U133" s="44" t="n">
        <x:v>0.01261467889908257</x:v>
      </x:c>
      <x:c r="V133" s="44" t="n">
        <x:v>0.5928899082568807</x:v>
      </x:c>
      <x:c r="W133" s="44" t="n">
        <x:v>0.052752293577981654</x:v>
      </x:c>
      <x:c r="X133" s="44" t="n">
        <x:v>0.2763761467889908</x:v>
      </x:c>
      <x:c r="Y133" s="44" t="n">
        <x:v>0</x:v>
      </x:c>
      <x:c r="Z133" s="44" t="n">
        <x:v>0.6647058823529411</x:v>
      </x:c>
      <x:c r="AA133" s="45" t="n">
        <x:v>0.3352941176470588</x:v>
      </x:c>
      <x:c r="AB133" s="45" t="n">
        <x:v>0.7941176470588235</x:v>
      </x:c>
      <x:c r="AC133" s="45" t="n">
        <x:v>0.5470588235294118</x:v>
      </x:c>
      <x:c r="AD133" s="44" t="n">
        <x:v>0.5705882352941176</x:v>
      </x:c>
      <x:c r="AE133" s="44" t="n">
        <x:v>0.7294117647058823</x:v>
      </x:c>
      <x:c r="AF133" s="45" t="n">
        <x:v>0.5323529411764706</x:v>
      </x:c>
      <x:c r="AG133" s="45" t="n">
        <x:v>0.46078431372549017</x:v>
      </x:c>
      <x:c r="AH133" s="44" t="n">
        <x:v>0.6764705882352942</x:v>
      </x:c>
      <x:c r="AI133" s="44" t="n">
        <x:v>0.38235294117647056</x:v>
      </x:c>
      <x:c r="AJ133" s="45" t="n">
        <x:v>0.3235294117647059</x:v>
      </x:c>
      <x:c r="AK133" s="45" t="n">
        <x:v>0.3138888888888889</x:v>
      </x:c>
      <x:c r="AL133" s="45" t="n">
        <x:v>0.43567538126361655</x:v>
      </x:c>
      <x:c r="AM133" s="44" t="n">
        <x:v>0.4965686274509804</x:v>
      </x:c>
    </x:row>
    <x:row r="134" ht="15" hidden="0" customHeight="1">
      <x:c r="A134" s="44" t="str">
        <x:v>139-010</x:v>
      </x:c>
      <x:c r="B134" s="44" t="str">
        <x:v>Kunala stupa and monastery</x:v>
      </x:c>
      <x:c r="C134" s="44" t="n">
        <x:v>500</x:v>
      </x:c>
      <x:c r="D134" s="44" t="str">
        <x:v>E2024</x:v>
      </x:c>
      <x:c r="E134" s="44" t="n">
        <x:v>2024</x:v>
      </x:c>
      <x:c r="F134" s="44" t="n">
        <x:v>872</x:v>
      </x:c>
      <x:c r="G134" s="45" t="n">
        <x:v>0.425961971282959</x:v>
      </x:c>
      <x:c r="H134" s="44" t="n">
        <x:v>0.2807766795158386</x:v>
      </x:c>
      <x:c r="I134" s="44" t="n">
        <x:v>0.5731873512268066</x:v>
      </x:c>
      <x:c r="J134" s="45" t="n">
        <x:v>-0.04102317988872528</x:v>
      </x:c>
      <x:c r="K134" s="44" t="n">
        <x:v>-0.1600387543439865</x:v>
      </x:c>
      <x:c r="L134" s="44" t="n">
        <x:v>0.049428101629018784</x:v>
      </x:c>
      <x:c r="M134" s="45" t="n">
        <x:v>-0.4246430993080139</x:v>
      </x:c>
      <x:c r="N134" s="44" t="n">
        <x:v>-0.4630456566810608</x:v>
      </x:c>
      <x:c r="O134" s="44" t="n">
        <x:v>-0.390761137008667</x:v>
      </x:c>
      <x:c r="P134" s="45" t="n">
        <x:v>0.03393629938364029</x:v>
      </x:c>
      <x:c r="Q134" s="44" t="n">
        <x:v>-0.07909735292196274</x:v>
      </x:c>
      <x:c r="R134" s="44" t="n">
        <x:v>0.11533351987600327</x:v>
      </x:c>
      <x:c r="S134" s="44" t="n">
        <x:v>872</x:v>
      </x:c>
      <x:c r="T134" s="44" t="n">
        <x:v>0.028669724770642203</x:v>
      </x:c>
      <x:c r="U134" s="44" t="n">
        <x:v>0.011467889908256881</x:v>
      </x:c>
      <x:c r="V134" s="44" t="n">
        <x:v>0.49311926605504586</x:v>
      </x:c>
      <x:c r="W134" s="44" t="n">
        <x:v>0.19036697247706422</x:v>
      </x:c>
      <x:c r="X134" s="44" t="n">
        <x:v>0.2763761467889908</x:v>
      </x:c>
      <x:c r="Y134" s="44" t="n">
        <x:v>0</x:v>
      </x:c>
      <x:c r="Z134" s="44" t="n">
        <x:v>0.3941176470588235</x:v>
      </x:c>
      <x:c r="AA134" s="45" t="n">
        <x:v>0.6647058823529411</x:v>
      </x:c>
      <x:c r="AB134" s="45" t="n">
        <x:v>0.4411764705882353</x:v>
      </x:c>
      <x:c r="AC134" s="45" t="n">
        <x:v>0.31176470588235294</x:v>
      </x:c>
      <x:c r="AD134" s="44" t="n">
        <x:v>0.5352941176470588</x:v>
      </x:c>
      <x:c r="AE134" s="44" t="n">
        <x:v>0.41764705882352937</x:v>
      </x:c>
      <x:c r="AF134" s="45" t="n">
        <x:v>0.5411764705882353</x:v>
      </x:c>
      <x:c r="AG134" s="45" t="n">
        <x:v>0.46078431372549017</x:v>
      </x:c>
      <x:c r="AH134" s="44" t="n">
        <x:v>0.6764705882352942</x:v>
      </x:c>
      <x:c r="AI134" s="44" t="n">
        <x:v>0.38235294117647056</x:v>
      </x:c>
      <x:c r="AJ134" s="45" t="n">
        <x:v>0.3235294117647059</x:v>
      </x:c>
      <x:c r="AK134" s="45" t="n">
        <x:v>0.5259259259259259</x:v>
      </x:c>
      <x:c r="AL134" s="45" t="n">
        <x:v>0.5092955700798838</x:v>
      </x:c>
      <x:c r="AM134" s="44" t="n">
        <x:v>0.5009803921568627</x:v>
      </x:c>
    </x:row>
    <x:row r="135" ht="15" hidden="0" customHeight="1">
      <x:c r="A135" s="44" t="str">
        <x:v>139-011</x:v>
      </x:c>
      <x:c r="B135" s="44" t="str">
        <x:v>Jandial complex</x:v>
      </x:c>
      <x:c r="C135" s="44" t="n">
        <x:v>500</x:v>
      </x:c>
      <x:c r="D135" s="44" t="str">
        <x:v>E2004</x:v>
      </x:c>
      <x:c r="E135" s="44" t="n">
        <x:v>2004</x:v>
      </x:c>
      <x:c r="F135" s="44" t="n">
        <x:v>870</x:v>
      </x:c>
      <x:c r="G135" s="45" t="n">
        <x:v>0.36214500665664673</x:v>
      </x:c>
      <x:c r="H135" s="44" t="n">
        <x:v>0.3021785616874695</x:v>
      </x:c>
      <x:c r="I135" s="44" t="n">
        <x:v>0.45815831422805786</x:v>
      </x:c>
      <x:c r="J135" s="45" t="n">
        <x:v>-0.01125835906714201</x:v>
      </x:c>
      <x:c r="K135" s="44" t="n">
        <x:v>-0.09082707017660141</x:v>
      </x:c>
      <x:c r="L135" s="44" t="n">
        <x:v>0.040561493486166</x:v>
      </x:c>
      <x:c r="M135" s="45" t="n">
        <x:v>-0.41961416602134705</x:v>
      </x:c>
      <x:c r="N135" s="44" t="n">
        <x:v>-0.44925475120544434</x:v>
      </x:c>
      <x:c r="O135" s="44" t="n">
        <x:v>-0.37822163105010986</x:v>
      </x:c>
      <x:c r="P135" s="45" t="n">
        <x:v>0.06438353657722473</x:v>
      </x:c>
      <x:c r="Q135" s="44" t="n">
        <x:v>-0.007606239058077335</x:v>
      </x:c>
      <x:c r="R135" s="44" t="n">
        <x:v>0.11139318346977234</x:v>
      </x:c>
      <x:c r="S135" s="44" t="n">
        <x:v>870</x:v>
      </x:c>
      <x:c r="T135" s="44" t="n">
        <x:v>0.1</x:v>
      </x:c>
      <x:c r="U135" s="44" t="n">
        <x:v>0.0022988505747126436</x:v>
      </x:c>
      <x:c r="V135" s="44" t="n">
        <x:v>0.7850574712643679</x:v>
      </x:c>
      <x:c r="W135" s="44" t="n">
        <x:v>0.020689655172413793</x:v>
      </x:c>
      <x:c r="X135" s="44" t="n">
        <x:v>0.09195402298850575</x:v>
      </x:c>
      <x:c r="Y135" s="44" t="n">
        <x:v>0</x:v>
      </x:c>
      <x:c r="Z135" s="44" t="n">
        <x:v>0.7705882352941177</x:v>
      </x:c>
      <x:c r="AA135" s="45" t="n">
        <x:v>0.5235294117647059</x:v>
      </x:c>
      <x:c r="AB135" s="45" t="n">
        <x:v>0.7588235294117647</x:v>
      </x:c>
      <x:c r="AC135" s="45" t="n">
        <x:v>0.6294117647058823</x:v>
      </x:c>
      <x:c r="AD135" s="44" t="n">
        <x:v>0.4411764705882353</x:v>
      </x:c>
      <x:c r="AE135" s="44" t="n">
        <x:v>0.7647058823529411</x:v>
      </x:c>
      <x:c r="AF135" s="45" t="n">
        <x:v>0.6441176470588235</x:v>
      </x:c>
      <x:c r="AG135" s="45" t="n">
        <x:v>0.4411764705882353</x:v>
      </x:c>
      <x:c r="AH135" s="44" t="n">
        <x:v>0.20588235294117646</x:v>
      </x:c>
      <x:c r="AI135" s="44" t="n">
        <x:v>0.6764705882352942</x:v>
      </x:c>
      <x:c r="AJ135" s="45" t="n">
        <x:v>0.4411764705882353</x:v>
      </x:c>
      <x:c r="AK135" s="45" t="n">
        <x:v>0.5166666666666666</x:v>
      </x:c>
      <x:c r="AL135" s="45" t="n">
        <x:v>0.5339869281045752</x:v>
      </x:c>
      <x:c r="AM135" s="44" t="n">
        <x:v>0.5426470588235294</x:v>
      </x:c>
    </x:row>
    <x:row r="136" ht="15" hidden="0" customHeight="1">
      <x:c r="A136" s="44" t="str">
        <x:v>139-011</x:v>
      </x:c>
      <x:c r="B136" s="44" t="str">
        <x:v>Jandial complex</x:v>
      </x:c>
      <x:c r="C136" s="44" t="n">
        <x:v>500</x:v>
      </x:c>
      <x:c r="D136" s="44" t="str">
        <x:v>E2009</x:v>
      </x:c>
      <x:c r="E136" s="44" t="n">
        <x:v>2009</x:v>
      </x:c>
      <x:c r="F136" s="44" t="n">
        <x:v>870</x:v>
      </x:c>
      <x:c r="G136" s="45" t="n">
        <x:v>0.3456953763961792</x:v>
      </x:c>
      <x:c r="H136" s="44" t="n">
        <x:v>0.2688732147216797</x:v>
      </x:c>
      <x:c r="I136" s="44" t="n">
        <x:v>0.4472227096557617</x:v>
      </x:c>
      <x:c r="J136" s="45" t="n">
        <x:v>-0.010994038544595242</x:v>
      </x:c>
      <x:c r="K136" s="44" t="n">
        <x:v>-0.10211226344108582</x:v>
      </x:c>
      <x:c r="L136" s="44" t="n">
        <x:v>0.03897232562303543</x:v>
      </x:c>
      <x:c r="M136" s="45" t="n">
        <x:v>-0.3977649211883545</x:v>
      </x:c>
      <x:c r="N136" s="44" t="n">
        <x:v>-0.42982354760169983</x:v>
      </x:c>
      <x:c r="O136" s="44" t="n">
        <x:v>-0.3589092493057251</x:v>
      </x:c>
      <x:c r="P136" s="45" t="n">
        <x:v>0.06245717406272888</x:v>
      </x:c>
      <x:c r="Q136" s="44" t="n">
        <x:v>-0.021180182695388794</x:v>
      </x:c>
      <x:c r="R136" s="44" t="n">
        <x:v>0.10753092914819717</x:v>
      </x:c>
      <x:c r="S136" s="44" t="n">
        <x:v>870</x:v>
      </x:c>
      <x:c r="T136" s="44" t="n">
        <x:v>0.2597701149425287</x:v>
      </x:c>
      <x:c r="U136" s="44" t="n">
        <x:v>0.0034482758620689655</x:v>
      </x:c>
      <x:c r="V136" s="44" t="n">
        <x:v>0.7011494252873564</x:v>
      </x:c>
      <x:c r="W136" s="44" t="n">
        <x:v>0.006896551724137931</x:v>
      </x:c>
      <x:c r="X136" s="44" t="n">
        <x:v>0.028735632183908046</x:v>
      </x:c>
      <x:c r="Y136" s="44" t="n">
        <x:v>0</x:v>
      </x:c>
      <x:c r="Z136" s="44" t="n">
        <x:v>0.888235294117647</x:v>
      </x:c>
      <x:c r="AA136" s="45" t="n">
        <x:v>0.07647058823529412</x:v>
      </x:c>
      <x:c r="AB136" s="45" t="n">
        <x:v>0.7705882352941177</x:v>
      </x:c>
      <x:c r="AC136" s="45" t="n">
        <x:v>0.9117647058823529</x:v>
      </x:c>
      <x:c r="AD136" s="44" t="n">
        <x:v>0.45294117647058824</x:v>
      </x:c>
      <x:c r="AE136" s="44" t="n">
        <x:v>0.8294117647058823</x:v>
      </x:c>
      <x:c r="AF136" s="45" t="n">
        <x:v>0.4529411764705882</x:v>
      </x:c>
      <x:c r="AG136" s="45" t="n">
        <x:v>0.4411764705882353</x:v>
      </x:c>
      <x:c r="AH136" s="44" t="n">
        <x:v>0.20588235294117646</x:v>
      </x:c>
      <x:c r="AI136" s="44" t="n">
        <x:v>0.6764705882352942</x:v>
      </x:c>
      <x:c r="AJ136" s="45" t="n">
        <x:v>0.4411764705882353</x:v>
      </x:c>
      <x:c r="AK136" s="45" t="n">
        <x:v>0.462037037037037</x:v>
      </x:c>
      <x:c r="AL136" s="45" t="n">
        <x:v>0.45205156136528685</x:v>
      </x:c>
      <x:c r="AM136" s="44" t="n">
        <x:v>0.44705882352941173</x:v>
      </x:c>
    </x:row>
    <x:row r="137" ht="15" hidden="0" customHeight="1">
      <x:c r="A137" s="44" t="str">
        <x:v>139-011</x:v>
      </x:c>
      <x:c r="B137" s="44" t="str">
        <x:v>Jandial complex</x:v>
      </x:c>
      <x:c r="C137" s="44" t="n">
        <x:v>500</x:v>
      </x:c>
      <x:c r="D137" s="44" t="str">
        <x:v>E2014</x:v>
      </x:c>
      <x:c r="E137" s="44" t="n">
        <x:v>2014</x:v>
      </x:c>
      <x:c r="F137" s="44" t="n">
        <x:v>867</x:v>
      </x:c>
      <x:c r="G137" s="45" t="n">
        <x:v>0.3562959134578705</x:v>
      </x:c>
      <x:c r="H137" s="44" t="n">
        <x:v>0.26355627179145813</x:v>
      </x:c>
      <x:c r="I137" s="44" t="n">
        <x:v>0.5073345899581909</x:v>
      </x:c>
      <x:c r="J137" s="45" t="n">
        <x:v>-0.016154352575540543</x:v>
      </x:c>
      <x:c r="K137" s="44" t="n">
        <x:v>-0.12448146194219589</x:v>
      </x:c>
      <x:c r="L137" s="44" t="n">
        <x:v>0.0457225926220417</x:v>
      </x:c>
      <x:c r="M137" s="45" t="n">
        <x:v>-0.3900505304336548</x:v>
      </x:c>
      <x:c r="N137" s="44" t="n">
        <x:v>-0.4395553171634674</x:v>
      </x:c>
      <x:c r="O137" s="44" t="n">
        <x:v>-0.34272536635398865</x:v>
      </x:c>
      <x:c r="P137" s="45" t="n">
        <x:v>0.05893467366695404</x:v>
      </x:c>
      <x:c r="Q137" s="44" t="n">
        <x:v>-0.04144039750099182</x:v>
      </x:c>
      <x:c r="R137" s="44" t="n">
        <x:v>0.11080192029476166</x:v>
      </x:c>
      <x:c r="S137" s="44" t="n">
        <x:v>867</x:v>
      </x:c>
      <x:c r="T137" s="44" t="n">
        <x:v>0.33794694348327564</x:v>
      </x:c>
      <x:c r="U137" s="44" t="n">
        <x:v>0.00461361014994233</x:v>
      </x:c>
      <x:c r="V137" s="44" t="n">
        <x:v>0.5178777393310265</x:v>
      </x:c>
      <x:c r="W137" s="44" t="n">
        <x:v>0.0657439446366782</x:v>
      </x:c>
      <x:c r="X137" s="44" t="n">
        <x:v>0.07381776239907728</x:v>
      </x:c>
      <x:c r="Y137" s="44" t="n">
        <x:v>0</x:v>
      </x:c>
      <x:c r="Z137" s="44" t="n">
        <x:v>0.8058823529411765</x:v>
      </x:c>
      <x:c r="AA137" s="45" t="n">
        <x:v>0.01764705882352941</x:v>
      </x:c>
      <x:c r="AB137" s="45" t="n">
        <x:v>0.711764705882353</x:v>
      </x:c>
      <x:c r="AC137" s="45" t="n">
        <x:v>0.9588235294117647</x:v>
      </x:c>
      <x:c r="AD137" s="44" t="n">
        <x:v>0.4647058823529412</x:v>
      </x:c>
      <x:c r="AE137" s="44" t="n">
        <x:v>0.7588235294117647</x:v>
      </x:c>
      <x:c r="AF137" s="45" t="n">
        <x:v>0.38823529411764707</x:v>
      </x:c>
      <x:c r="AG137" s="45" t="n">
        <x:v>0.4411764705882353</x:v>
      </x:c>
      <x:c r="AH137" s="44" t="n">
        <x:v>0.20588235294117646</x:v>
      </x:c>
      <x:c r="AI137" s="44" t="n">
        <x:v>0.6764705882352942</x:v>
      </x:c>
      <x:c r="AJ137" s="45" t="n">
        <x:v>0.4411764705882353</x:v>
      </x:c>
      <x:c r="AK137" s="45" t="n">
        <x:v>0.4842592592592592</x:v>
      </x:c>
      <x:c r="AL137" s="45" t="n">
        <x:v>0.43789034132171384</x:v>
      </x:c>
      <x:c r="AM137" s="44" t="n">
        <x:v>0.41470588235294115</x:v>
      </x:c>
    </x:row>
    <x:row r="138" ht="15" hidden="0" customHeight="1">
      <x:c r="A138" s="44" t="str">
        <x:v>139-011</x:v>
      </x:c>
      <x:c r="B138" s="44" t="str">
        <x:v>Jandial complex</x:v>
      </x:c>
      <x:c r="C138" s="44" t="n">
        <x:v>500</x:v>
      </x:c>
      <x:c r="D138" s="44" t="str">
        <x:v>E2019</x:v>
      </x:c>
      <x:c r="E138" s="44" t="n">
        <x:v>2019</x:v>
      </x:c>
      <x:c r="F138" s="44" t="n">
        <x:v>858</x:v>
      </x:c>
      <x:c r="G138" s="45" t="n">
        <x:v>0.359489381313324</x:v>
      </x:c>
      <x:c r="H138" s="44" t="n">
        <x:v>0.24921712279319763</x:v>
      </x:c>
      <x:c r="I138" s="44" t="n">
        <x:v>0.5214945077896118</x:v>
      </x:c>
      <x:c r="J138" s="45" t="n">
        <x:v>-0.020319953560829163</x:v>
      </x:c>
      <x:c r="K138" s="44" t="n">
        <x:v>-0.1441151201725006</x:v>
      </x:c>
      <x:c r="L138" s="44" t="n">
        <x:v>0.038012582808732986</x:v>
      </x:c>
      <x:c r="M138" s="45" t="n">
        <x:v>-0.38117921352386475</x:v>
      </x:c>
      <x:c r="N138" s="44" t="n">
        <x:v>-0.4344629645347595</x:v>
      </x:c>
      <x:c r="O138" s="44" t="n">
        <x:v>-0.3284374475479126</x:v>
      </x:c>
      <x:c r="P138" s="45" t="n">
        <x:v>0.057806745171546936</x:v>
      </x:c>
      <x:c r="Q138" s="44" t="n">
        <x:v>-0.05400325357913971</x:v>
      </x:c>
      <x:c r="R138" s="44" t="n">
        <x:v>0.10503162443637848</x:v>
      </x:c>
      <x:c r="S138" s="44" t="n">
        <x:v>858</x:v>
      </x:c>
      <x:c r="T138" s="44" t="n">
        <x:v>0.4230769230769231</x:v>
      </x:c>
      <x:c r="U138" s="44" t="n">
        <x:v>0</x:v>
      </x:c>
      <x:c r="V138" s="44" t="n">
        <x:v>0.4347319347319347</x:v>
      </x:c>
      <x:c r="W138" s="44" t="n">
        <x:v>0.09557109557109557</x:v>
      </x:c>
      <x:c r="X138" s="44" t="n">
        <x:v>0.046620046620046623</x:v>
      </x:c>
      <x:c r="Y138" s="44" t="n">
        <x:v>0</x:v>
      </x:c>
      <x:c r="Z138" s="44" t="n">
        <x:v>0.7941176470588235</x:v>
      </x:c>
      <x:c r="AA138" s="45" t="n">
        <x:v>0.0058823529411764705</x:v>
      </x:c>
      <x:c r="AB138" s="45" t="n">
        <x:v>0.6764705882352942</x:v>
      </x:c>
      <x:c r="AC138" s="45" t="n">
        <x:v>0.9823529411764705</x:v>
      </x:c>
      <x:c r="AD138" s="44" t="n">
        <x:v>0.15294117647058825</x:v>
      </x:c>
      <x:c r="AE138" s="44" t="n">
        <x:v>0.7352941176470589</x:v>
      </x:c>
      <x:c r="AF138" s="45" t="n">
        <x:v>0.37058823529411766</x:v>
      </x:c>
      <x:c r="AG138" s="45" t="n">
        <x:v>0.4411764705882353</x:v>
      </x:c>
      <x:c r="AH138" s="44" t="n">
        <x:v>0.20588235294117646</x:v>
      </x:c>
      <x:c r="AI138" s="44" t="n">
        <x:v>0.6764705882352942</x:v>
      </x:c>
      <x:c r="AJ138" s="45" t="n">
        <x:v>0.4411764705882353</x:v>
      </x:c>
      <x:c r="AK138" s="45" t="n">
        <x:v>0.3138888888888889</x:v>
      </x:c>
      <x:c r="AL138" s="45" t="n">
        <x:v>0.37521786492374726</x:v>
      </x:c>
      <x:c r="AM138" s="44" t="n">
        <x:v>0.40588235294117647</x:v>
      </x:c>
    </x:row>
    <x:row r="139" ht="15" hidden="0" customHeight="1">
      <x:c r="A139" s="44" t="str">
        <x:v>139-011</x:v>
      </x:c>
      <x:c r="B139" s="44" t="str">
        <x:v>Jandial complex</x:v>
      </x:c>
      <x:c r="C139" s="44" t="n">
        <x:v>500</x:v>
      </x:c>
      <x:c r="D139" s="44" t="str">
        <x:v>E2024</x:v>
      </x:c>
      <x:c r="E139" s="44" t="n">
        <x:v>2024</x:v>
      </x:c>
      <x:c r="F139" s="44" t="n">
        <x:v>868</x:v>
      </x:c>
      <x:c r="G139" s="45" t="n">
        <x:v>0.4011480212211609</x:v>
      </x:c>
      <x:c r="H139" s="44" t="n">
        <x:v>0.266916424036026</x:v>
      </x:c>
      <x:c r="I139" s="44" t="n">
        <x:v>0.5667912364006042</x:v>
      </x:c>
      <x:c r="J139" s="45" t="n">
        <x:v>-0.044438187032938004</x:v>
      </x:c>
      <x:c r="K139" s="44" t="n">
        <x:v>-0.16774189472198486</x:v>
      </x:c>
      <x:c r="L139" s="44" t="n">
        <x:v>0.03141680732369423</x:v>
      </x:c>
      <x:c r="M139" s="45" t="n">
        <x:v>-0.3943135440349579</x:v>
      </x:c>
      <x:c r="N139" s="44" t="n">
        <x:v>-0.44624435901641846</x:v>
      </x:c>
      <x:c r="O139" s="44" t="n">
        <x:v>-0.3358553946018219</x:v>
      </x:c>
      <x:c r="P139" s="45" t="n">
        <x:v>0.03385227173566818</x:v>
      </x:c>
      <x:c r="Q139" s="44" t="n">
        <x:v>-0.08154843747615814</x:v>
      </x:c>
      <x:c r="R139" s="44" t="n">
        <x:v>0.09859783202409744</x:v>
      </x:c>
      <x:c r="S139" s="44" t="n">
        <x:v>868</x:v>
      </x:c>
      <x:c r="T139" s="44" t="n">
        <x:v>0.3317972350230415</x:v>
      </x:c>
      <x:c r="U139" s="44" t="n">
        <x:v>0.001152073732718894</x:v>
      </x:c>
      <x:c r="V139" s="44" t="n">
        <x:v>0.4930875576036866</x:v>
      </x:c>
      <x:c r="W139" s="44" t="n">
        <x:v>0.10599078341013825</x:v>
      </x:c>
      <x:c r="X139" s="44" t="n">
        <x:v>0.06797235023041474</x:v>
      </x:c>
      <x:c r="Y139" s="44" t="n">
        <x:v>0</x:v>
      </x:c>
      <x:c r="Z139" s="44" t="n">
        <x:v>0.4764705882352941</x:v>
      </x:c>
      <x:c r="AA139" s="45" t="n">
        <x:v>0.06470588235294118</x:v>
      </x:c>
      <x:c r="AB139" s="45" t="n">
        <x:v>0.4176470588235294</x:v>
      </x:c>
      <x:c r="AC139" s="45" t="n">
        <x:v>0.9352941176470588</x:v>
      </x:c>
      <x:c r="AD139" s="44" t="n">
        <x:v>0.3941176470588235</x:v>
      </x:c>
      <x:c r="AE139" s="44" t="n">
        <x:v>0.44705882352941173</x:v>
      </x:c>
      <x:c r="AF139" s="45" t="n">
        <x:v>0.25588235294117645</x:v>
      </x:c>
      <x:c r="AG139" s="45" t="n">
        <x:v>0.4411764705882353</x:v>
      </x:c>
      <x:c r="AH139" s="44" t="n">
        <x:v>0.20588235294117646</x:v>
      </x:c>
      <x:c r="AI139" s="44" t="n">
        <x:v>0.6764705882352942</x:v>
      </x:c>
      <x:c r="AJ139" s="45" t="n">
        <x:v>0.4411764705882353</x:v>
      </x:c>
      <x:c r="AK139" s="45" t="n">
        <x:v>0.5259259259259259</x:v>
      </x:c>
      <x:c r="AL139" s="45" t="n">
        <x:v>0.4076615831517792</x:v>
      </x:c>
      <x:c r="AM139" s="44" t="n">
        <x:v>0.34852941176470587</x:v>
      </x:c>
    </x:row>
    <x:row r="140" ht="15" hidden="0" customHeight="1">
      <x:c r="A140" s="44" t="str">
        <x:v>139-012</x:v>
      </x:c>
      <x:c r="B140" s="44" t="str">
        <x:v>Lalchak and Badalpur Buddhist stuppa</x:v>
      </x:c>
      <x:c r="C140" s="44" t="n">
        <x:v>500</x:v>
      </x:c>
      <x:c r="D140" s="44" t="str">
        <x:v>E2004</x:v>
      </x:c>
      <x:c r="E140" s="44" t="n">
        <x:v>2004</x:v>
      </x:c>
      <x:c r="F140" s="44" t="n">
        <x:v>872</x:v>
      </x:c>
      <x:c r="G140" s="45" t="n">
        <x:v>0.4648914635181427</x:v>
      </x:c>
      <x:c r="H140" s="44" t="n">
        <x:v>0.38339704275131226</x:v>
      </x:c>
      <x:c r="I140" s="44" t="n">
        <x:v>0.529751718044281</x:v>
      </x:c>
      <x:c r="J140" s="45" t="n">
        <x:v>-0.09653645753860474</x:v>
      </x:c>
      <x:c r="K140" s="44" t="n">
        <x:v>-0.15458227694034576</x:v>
      </x:c>
      <x:c r="L140" s="44" t="n">
        <x:v>-0.028664154931902885</x:v>
      </x:c>
      <x:c r="M140" s="45" t="n">
        <x:v>-0.41996335983276367</x:v>
      </x:c>
      <x:c r="N140" s="44" t="n">
        <x:v>-0.4385197162628174</x:v>
      </x:c>
      <x:c r="O140" s="44" t="n">
        <x:v>-0.3992167115211487</x:v>
      </x:c>
      <x:c r="P140" s="45" t="n">
        <x:v>-0.011026578024029732</x:v>
      </x:c>
      <x:c r="Q140" s="44" t="n">
        <x:v>-0.06689847260713577</x:v>
      </x:c>
      <x:c r="R140" s="44" t="n">
        <x:v>0.051898449659347534</x:v>
      </x:c>
      <x:c r="S140" s="44" t="n">
        <x:v>872</x:v>
      </x:c>
      <x:c r="T140" s="44" t="n">
        <x:v>0.011467889908256881</x:v>
      </x:c>
      <x:c r="U140" s="44" t="n">
        <x:v>0</x:v>
      </x:c>
      <x:c r="V140" s="44" t="n">
        <x:v>0.5676605504587156</x:v>
      </x:c>
      <x:c r="W140" s="44" t="n">
        <x:v>0.28325688073394495</x:v>
      </x:c>
      <x:c r="X140" s="44" t="n">
        <x:v>0.13761467889908258</x:v>
      </x:c>
      <x:c r="Y140" s="44" t="n">
        <x:v>0</x:v>
      </x:c>
      <x:c r="Z140" s="44" t="n">
        <x:v>0.28823529411764703</x:v>
      </x:c>
      <x:c r="AA140" s="45" t="n">
        <x:v>0.5470588235294118</x:v>
      </x:c>
      <x:c r="AB140" s="45" t="n">
        <x:v>0.27647058823529413</x:v>
      </x:c>
      <x:c r="AC140" s="45" t="n">
        <x:v>0.19411764705882353</x:v>
      </x:c>
      <x:c r="AD140" s="44" t="n">
        <x:v>0.15294117647058825</x:v>
      </x:c>
      <x:c r="AE140" s="44" t="n">
        <x:v>0.2823529411764706</x:v>
      </x:c>
      <x:c r="AF140" s="45" t="n">
        <x:v>0.4147058823529412</x:v>
      </x:c>
      <x:c r="AG140" s="45" t="n">
        <x:v>0.3137254901960784</x:v>
      </x:c>
      <x:c r="AH140" s="44" t="n">
        <x:v>0.058823529411764705</x:v>
      </x:c>
      <x:c r="AI140" s="44" t="n">
        <x:v>0.7941176470588235</x:v>
      </x:c>
      <x:c r="AJ140" s="45" t="n">
        <x:v>0.08823529411764706</x:v>
      </x:c>
      <x:c r="AK140" s="45" t="n">
        <x:v>0.5166666666666666</x:v>
      </x:c>
      <x:c r="AL140" s="45" t="n">
        <x:v>0.4150326797385621</x:v>
      </x:c>
      <x:c r="AM140" s="44" t="n">
        <x:v>0.36421568627450984</x:v>
      </x:c>
    </x:row>
    <x:row r="141" ht="15" hidden="0" customHeight="1">
      <x:c r="A141" s="44" t="str">
        <x:v>139-012</x:v>
      </x:c>
      <x:c r="B141" s="44" t="str">
        <x:v>Lalchak and Badalpur Buddhist stuppa</x:v>
      </x:c>
      <x:c r="C141" s="44" t="n">
        <x:v>500</x:v>
      </x:c>
      <x:c r="D141" s="44" t="str">
        <x:v>E2009</x:v>
      </x:c>
      <x:c r="E141" s="44" t="n">
        <x:v>2009</x:v>
      </x:c>
      <x:c r="F141" s="44" t="n">
        <x:v>872</x:v>
      </x:c>
      <x:c r="G141" s="45" t="n">
        <x:v>0.48556727170944214</x:v>
      </x:c>
      <x:c r="H141" s="44" t="n">
        <x:v>0.4063560366630554</x:v>
      </x:c>
      <x:c r="I141" s="44" t="n">
        <x:v>0.5462480187416077</x:v>
      </x:c>
      <x:c r="J141" s="45" t="n">
        <x:v>-0.11569106578826904</x:v>
      </x:c>
      <x:c r="K141" s="44" t="n">
        <x:v>-0.17532707750797272</x:v>
      </x:c>
      <x:c r="L141" s="44" t="n">
        <x:v>-0.05398184061050415</x:v>
      </x:c>
      <x:c r="M141" s="45" t="n">
        <x:v>-0.414450466632843</x:v>
      </x:c>
      <x:c r="N141" s="44" t="n">
        <x:v>-0.43989336490631104</x:v>
      </x:c>
      <x:c r="O141" s="44" t="n">
        <x:v>-0.3858265280723572</x:v>
      </x:c>
      <x:c r="P141" s="45" t="n">
        <x:v>-0.03208550810813904</x:v>
      </x:c>
      <x:c r="Q141" s="44" t="n">
        <x:v>-0.09173282980918884</x:v>
      </x:c>
      <x:c r="R141" s="44" t="n">
        <x:v>0.02614620141685009</x:v>
      </x:c>
      <x:c r="S141" s="44" t="n">
        <x:v>872</x:v>
      </x:c>
      <x:c r="T141" s="44" t="n">
        <x:v>0.027522935779816515</x:v>
      </x:c>
      <x:c r="U141" s="44" t="n">
        <x:v>0</x:v>
      </x:c>
      <x:c r="V141" s="44" t="n">
        <x:v>0.5825688073394495</x:v>
      </x:c>
      <x:c r="W141" s="44" t="n">
        <x:v>0.2706422018348624</x:v>
      </x:c>
      <x:c r="X141" s="44" t="n">
        <x:v>0.11926605504587157</x:v>
      </x:c>
      <x:c r="Y141" s="44" t="n">
        <x:v>0</x:v>
      </x:c>
      <x:c r="Z141" s="44" t="n">
        <x:v>0.2647058823529412</x:v>
      </x:c>
      <x:c r="AA141" s="45" t="n">
        <x:v>0.3588235294117647</x:v>
      </x:c>
      <x:c r="AB141" s="45" t="n">
        <x:v>0.19411764705882353</x:v>
      </x:c>
      <x:c r="AC141" s="45" t="n">
        <x:v>0.3</x:v>
      </x:c>
      <x:c r="AD141" s="44" t="n">
        <x:v>0.15294117647058825</x:v>
      </x:c>
      <x:c r="AE141" s="44" t="n">
        <x:v>0.22941176470588237</x:v>
      </x:c>
      <x:c r="AF141" s="45" t="n">
        <x:v>0.29411764705882354</x:v>
      </x:c>
      <x:c r="AG141" s="45" t="n">
        <x:v>0.3137254901960784</x:v>
      </x:c>
      <x:c r="AH141" s="44" t="n">
        <x:v>0.058823529411764705</x:v>
      </x:c>
      <x:c r="AI141" s="44" t="n">
        <x:v>0.7941176470588235</x:v>
      </x:c>
      <x:c r="AJ141" s="45" t="n">
        <x:v>0.08823529411764706</x:v>
      </x:c>
      <x:c r="AK141" s="45" t="n">
        <x:v>0.462037037037037</x:v>
      </x:c>
      <x:c r="AL141" s="45" t="n">
        <x:v>0.35662672476397966</x:v>
      </x:c>
      <x:c r="AM141" s="44" t="n">
        <x:v>0.303921568627451</x:v>
      </x:c>
    </x:row>
    <x:row r="142" ht="15" hidden="0" customHeight="1">
      <x:c r="A142" s="44" t="str">
        <x:v>139-012</x:v>
      </x:c>
      <x:c r="B142" s="44" t="str">
        <x:v>Lalchak and Badalpur Buddhist stuppa</x:v>
      </x:c>
      <x:c r="C142" s="44" t="n">
        <x:v>500</x:v>
      </x:c>
      <x:c r="D142" s="44" t="str">
        <x:v>E2014</x:v>
      </x:c>
      <x:c r="E142" s="44" t="n">
        <x:v>2014</x:v>
      </x:c>
      <x:c r="F142" s="44" t="n">
        <x:v>872</x:v>
      </x:c>
      <x:c r="G142" s="45" t="n">
        <x:v>0.5293232202529907</x:v>
      </x:c>
      <x:c r="H142" s="44" t="n">
        <x:v>0.37451913952827454</x:v>
      </x:c>
      <x:c r="I142" s="44" t="n">
        <x:v>0.6531277298927307</x:v>
      </x:c>
      <x:c r="J142" s="45" t="n">
        <x:v>-0.14225760102272034</x:v>
      </x:c>
      <x:c r="K142" s="44" t="n">
        <x:v>-0.25429943203926086</x:v>
      </x:c>
      <x:c r="L142" s="44" t="n">
        <x:v>-0.020743651315569878</x:v>
      </x:c>
      <x:c r="M142" s="45" t="n">
        <x:v>-0.4219130277633667</x:v>
      </x:c>
      <x:c r="N142" s="44" t="n">
        <x:v>-0.4456492066383362</x:v>
      </x:c>
      <x:c r="O142" s="44" t="n">
        <x:v>-0.38662245869636536</x:v>
      </x:c>
      <x:c r="P142" s="45" t="n">
        <x:v>-0.053803496062755585</x:v>
      </x:c>
      <x:c r="Q142" s="44" t="n">
        <x:v>-0.16792042553424835</x:v>
      </x:c>
      <x:c r="R142" s="44" t="n">
        <x:v>0.05601930245757103</x:v>
      </x:c>
      <x:c r="S142" s="44" t="n">
        <x:v>872</x:v>
      </x:c>
      <x:c r="T142" s="44" t="n">
        <x:v>0.06880733944954129</x:v>
      </x:c>
      <x:c r="U142" s="44" t="n">
        <x:v>0</x:v>
      </x:c>
      <x:c r="V142" s="44" t="n">
        <x:v>0.29243119266055045</x:v>
      </x:c>
      <x:c r="W142" s="44" t="n">
        <x:v>0.5665137614678899</x:v>
      </x:c>
      <x:c r="X142" s="44" t="n">
        <x:v>0.07224770642201835</x:v>
      </x:c>
      <x:c r="Y142" s="44" t="n">
        <x:v>0</x:v>
      </x:c>
      <x:c r="Z142" s="44" t="n">
        <x:v>0.14705882352941177</x:v>
      </x:c>
      <x:c r="AA142" s="45" t="n">
        <x:v>0.5941176470588235</x:v>
      </x:c>
      <x:c r="AB142" s="45" t="n">
        <x:v>0.13529411764705881</x:v>
      </x:c>
      <x:c r="AC142" s="45" t="n">
        <x:v>0.5588235294117647</x:v>
      </x:c>
      <x:c r="AD142" s="44" t="n">
        <x:v>0.15294117647058825</x:v>
      </x:c>
      <x:c r="AE142" s="44" t="n">
        <x:v>0.1411764705882353</x:v>
      </x:c>
      <x:c r="AF142" s="45" t="n">
        <x:v>0.36764705882352944</x:v>
      </x:c>
      <x:c r="AG142" s="45" t="n">
        <x:v>0.3137254901960784</x:v>
      </x:c>
      <x:c r="AH142" s="44" t="n">
        <x:v>0.058823529411764705</x:v>
      </x:c>
      <x:c r="AI142" s="44" t="n">
        <x:v>0.7941176470588235</x:v>
      </x:c>
      <x:c r="AJ142" s="45" t="n">
        <x:v>0.08823529411764706</x:v>
      </x:c>
      <x:c r="AK142" s="45" t="n">
        <x:v>0.4842592592592592</x:v>
      </x:c>
      <x:c r="AL142" s="45" t="n">
        <x:v>0.3885439360929557</x:v>
      </x:c>
      <x:c r="AM142" s="44" t="n">
        <x:v>0.34068627450980393</x:v>
      </x:c>
    </x:row>
    <x:row r="143" ht="15" hidden="0" customHeight="1">
      <x:c r="A143" s="44" t="str">
        <x:v>139-012</x:v>
      </x:c>
      <x:c r="B143" s="44" t="str">
        <x:v>Lalchak and Badalpur Buddhist stuppa</x:v>
      </x:c>
      <x:c r="C143" s="44" t="n">
        <x:v>500</x:v>
      </x:c>
      <x:c r="D143" s="44" t="str">
        <x:v>E2019</x:v>
      </x:c>
      <x:c r="E143" s="44" t="n">
        <x:v>2019</x:v>
      </x:c>
      <x:c r="F143" s="44" t="n">
        <x:v>866</x:v>
      </x:c>
      <x:c r="G143" s="45" t="n">
        <x:v>0.5431039333343506</x:v>
      </x:c>
      <x:c r="H143" s="44" t="n">
        <x:v>0.3991846442222595</x:v>
      </x:c>
      <x:c r="I143" s="44" t="n">
        <x:v>0.6520716547966003</x:v>
      </x:c>
      <x:c r="J143" s="45" t="n">
        <x:v>-0.17209309339523315</x:v>
      </x:c>
      <x:c r="K143" s="44" t="n">
        <x:v>-0.2677114009857178</x:v>
      </x:c>
      <x:c r="L143" s="44" t="n">
        <x:v>-0.06850602477788925</x:v>
      </x:c>
      <x:c r="M143" s="45" t="n">
        <x:v>-0.4131113588809967</x:v>
      </x:c>
      <x:c r="N143" s="44" t="n">
        <x:v>-0.43846410512924194</x:v>
      </x:c>
      <x:c r="O143" s="44" t="n">
        <x:v>-0.36468565464019775</x:v>
      </x:c>
      <x:c r="P143" s="45" t="n">
        <x:v>-0.07670949399471283</x:v>
      </x:c>
      <x:c r="Q143" s="44" t="n">
        <x:v>-0.17295578122138977</x:v>
      </x:c>
      <x:c r="R143" s="44" t="n">
        <x:v>0.021458180621266365</x:v>
      </x:c>
      <x:c r="S143" s="44" t="n">
        <x:v>866</x:v>
      </x:c>
      <x:c r="T143" s="44" t="n">
        <x:v>0.10392609699769054</x:v>
      </x:c>
      <x:c r="U143" s="44" t="n">
        <x:v>0</x:v>
      </x:c>
      <x:c r="V143" s="44" t="n">
        <x:v>0.20438799076212472</x:v>
      </x:c>
      <x:c r="W143" s="44" t="n">
        <x:v>0.6547344110854504</x:v>
      </x:c>
      <x:c r="X143" s="44" t="n">
        <x:v>0.03695150115473441</x:v>
      </x:c>
      <x:c r="Y143" s="44" t="n">
        <x:v>0</x:v>
      </x:c>
      <x:c r="Z143" s="44" t="n">
        <x:v>0.11176470588235295</x:v>
      </x:c>
      <x:c r="AA143" s="45" t="n">
        <x:v>0.3</x:v>
      </x:c>
      <x:c r="AB143" s="45" t="n">
        <x:v>0.052941176470588235</x:v>
      </x:c>
      <x:c r="AC143" s="45" t="n">
        <x:v>0.6647058823529411</x:v>
      </x:c>
      <x:c r="AD143" s="44" t="n">
        <x:v>0.15294117647058825</x:v>
      </x:c>
      <x:c r="AE143" s="44" t="n">
        <x:v>0.08235294117647059</x:v>
      </x:c>
      <x:c r="AF143" s="45" t="n">
        <x:v>0.19117647058823528</x:v>
      </x:c>
      <x:c r="AG143" s="45" t="n">
        <x:v>0.3137254901960784</x:v>
      </x:c>
      <x:c r="AH143" s="44" t="n">
        <x:v>0.058823529411764705</x:v>
      </x:c>
      <x:c r="AI143" s="44" t="n">
        <x:v>0.7941176470588235</x:v>
      </x:c>
      <x:c r="AJ143" s="45" t="n">
        <x:v>0.08823529411764706</x:v>
      </x:c>
      <x:c r="AK143" s="45" t="n">
        <x:v>0.3138888888888889</x:v>
      </x:c>
      <x:c r="AL143" s="45" t="n">
        <x:v>0.2729302832244009</x:v>
      </x:c>
      <x:c r="AM143" s="44" t="n">
        <x:v>0.25245098039215685</x:v>
      </x:c>
    </x:row>
    <x:row r="144" ht="15" hidden="0" customHeight="1">
      <x:c r="A144" s="44" t="str">
        <x:v>139-012</x:v>
      </x:c>
      <x:c r="B144" s="44" t="str">
        <x:v>Lalchak and Badalpur Buddhist stuppa</x:v>
      </x:c>
      <x:c r="C144" s="44" t="n">
        <x:v>500</x:v>
      </x:c>
      <x:c r="D144" s="44" t="str">
        <x:v>E2024</x:v>
      </x:c>
      <x:c r="E144" s="44" t="n">
        <x:v>2024</x:v>
      </x:c>
      <x:c r="F144" s="44" t="n">
        <x:v>871</x:v>
      </x:c>
      <x:c r="G144" s="45" t="n">
        <x:v>0.571389377117157</x:v>
      </x:c>
      <x:c r="H144" s="44" t="n">
        <x:v>0.4343109130859375</x:v>
      </x:c>
      <x:c r="I144" s="44" t="n">
        <x:v>0.6531270146369934</x:v>
      </x:c>
      <x:c r="J144" s="45" t="n">
        <x:v>-0.16774064302444458</x:v>
      </x:c>
      <x:c r="K144" s="44" t="n">
        <x:v>-0.24002166092395782</x:v>
      </x:c>
      <x:c r="L144" s="44" t="n">
        <x:v>-0.0745503380894661</x:v>
      </x:c>
      <x:c r="M144" s="45" t="n">
        <x:v>-0.4376829266548157</x:v>
      </x:c>
      <x:c r="N144" s="44" t="n">
        <x:v>-0.46130096912384033</x:v>
      </x:c>
      <x:c r="O144" s="44" t="n">
        <x:v>-0.38547760248184204</x:v>
      </x:c>
      <x:c r="P144" s="45" t="n">
        <x:v>-0.08094371110200882</x:v>
      </x:c>
      <x:c r="Q144" s="44" t="n">
        <x:v>-0.15607216954231262</x:v>
      </x:c>
      <x:c r="R144" s="44" t="n">
        <x:v>0.009752829559147358</x:v>
      </x:c>
      <x:c r="S144" s="44" t="n">
        <x:v>871</x:v>
      </x:c>
      <x:c r="T144" s="44" t="n">
        <x:v>0.04362801377726751</x:v>
      </x:c>
      <x:c r="U144" s="44" t="n">
        <x:v>0</x:v>
      </x:c>
      <x:c r="V144" s="44" t="n">
        <x:v>0.26406429391504016</x:v>
      </x:c>
      <x:c r="W144" s="44" t="n">
        <x:v>0.6142365097588978</x:v>
      </x:c>
      <x:c r="X144" s="44" t="n">
        <x:v>0.07807118254879448</x:v>
      </x:c>
      <x:c r="Y144" s="44" t="n">
        <x:v>0</x:v>
      </x:c>
      <x:c r="Z144" s="44" t="n">
        <x:v>0.052941176470588235</x:v>
      </x:c>
      <x:c r="AA144" s="45" t="n">
        <x:v>0.8764705882352941</x:v>
      </x:c>
      <x:c r="AB144" s="45" t="n">
        <x:v>0.07647058823529412</x:v>
      </x:c>
      <x:c r="AC144" s="45" t="n">
        <x:v>0.4176470588235294</x:v>
      </x:c>
      <x:c r="AD144" s="44" t="n">
        <x:v>0.15294117647058825</x:v>
      </x:c>
      <x:c r="AE144" s="44" t="n">
        <x:v>0.06470588235294118</x:v>
      </x:c>
      <x:c r="AF144" s="45" t="n">
        <x:v>0.47058823529411764</x:v>
      </x:c>
      <x:c r="AG144" s="45" t="n">
        <x:v>0.3137254901960784</x:v>
      </x:c>
      <x:c r="AH144" s="44" t="n">
        <x:v>0.058823529411764705</x:v>
      </x:c>
      <x:c r="AI144" s="44" t="n">
        <x:v>0.7941176470588235</x:v>
      </x:c>
      <x:c r="AJ144" s="45" t="n">
        <x:v>0.08823529411764706</x:v>
      </x:c>
      <x:c r="AK144" s="45" t="n">
        <x:v>0.5259259259259259</x:v>
      </x:c>
      <x:c r="AL144" s="45" t="n">
        <x:v>0.4367465504720407</x:v>
      </x:c>
      <x:c r="AM144" s="44" t="n">
        <x:v>0.39215686274509803</x:v>
      </x:c>
    </x:row>
    <x:row r="145" ht="15" hidden="0" customHeight="1">
      <x:c r="A145" s="44" t="str">
        <x:v>139-013</x:v>
      </x:c>
      <x:c r="B145" s="44" t="str">
        <x:v>Mohra Moradu stupa and monastery</x:v>
      </x:c>
      <x:c r="C145" s="44" t="n">
        <x:v>500</x:v>
      </x:c>
      <x:c r="D145" s="44" t="str">
        <x:v>E2004</x:v>
      </x:c>
      <x:c r="E145" s="44" t="n">
        <x:v>2004</x:v>
      </x:c>
      <x:c r="F145" s="44" t="n">
        <x:v>871</x:v>
      </x:c>
      <x:c r="G145" s="45" t="n">
        <x:v>0.37922438979148865</x:v>
      </x:c>
      <x:c r="H145" s="44" t="n">
        <x:v>0.3181293308734894</x:v>
      </x:c>
      <x:c r="I145" s="44" t="n">
        <x:v>0.47476592659950256</x:v>
      </x:c>
      <x:c r="J145" s="45" t="n">
        <x:v>-0.039121631532907486</x:v>
      </x:c>
      <x:c r="K145" s="44" t="n">
        <x:v>-0.15947824716567993</x:v>
      </x:c>
      <x:c r="L145" s="44" t="n">
        <x:v>0.05273601412773132</x:v>
      </x:c>
      <x:c r="M145" s="45" t="n">
        <x:v>-0.4118773937225342</x:v>
      </x:c>
      <x:c r="N145" s="44" t="n">
        <x:v>-0.46738094091415405</x:v>
      </x:c>
      <x:c r="O145" s="44" t="n">
        <x:v>-0.32330864667892456</x:v>
      </x:c>
      <x:c r="P145" s="45" t="n">
        <x:v>0.04209224879741669</x:v>
      </x:c>
      <x:c r="Q145" s="44" t="n">
        <x:v>-0.060863252729177475</x:v>
      </x:c>
      <x:c r="R145" s="44" t="n">
        <x:v>0.11824262142181396</x:v>
      </x:c>
      <x:c r="S145" s="44" t="n">
        <x:v>871</x:v>
      </x:c>
      <x:c r="T145" s="44" t="n">
        <x:v>0.10907003444316878</x:v>
      </x:c>
      <x:c r="U145" s="44" t="n">
        <x:v>0.010332950631458095</x:v>
      </x:c>
      <x:c r="V145" s="44" t="n">
        <x:v>0.3467278989667049</x:v>
      </x:c>
      <x:c r="W145" s="44" t="n">
        <x:v>0.08955223880597014</x:v>
      </x:c>
      <x:c r="X145" s="44" t="n">
        <x:v>0.4443168771526981</x:v>
      </x:c>
      <x:c r="Y145" s="44" t="n">
        <x:v>0</x:v>
      </x:c>
      <x:c r="Z145" s="44" t="n">
        <x:v>0.5823529411764706</x:v>
      </x:c>
      <x:c r="AA145" s="45" t="n">
        <x:v>0.2647058823529412</x:v>
      </x:c>
      <x:c r="AB145" s="45" t="n">
        <x:v>0.4764705882352941</x:v>
      </x:c>
      <x:c r="AC145" s="45" t="n">
        <x:v>0.7</x:v>
      </x:c>
      <x:c r="AD145" s="44" t="n">
        <x:v>0.5117647058823529</x:v>
      </x:c>
      <x:c r="AE145" s="44" t="n">
        <x:v>0.5294117647058824</x:v>
      </x:c>
      <x:c r="AF145" s="45" t="n">
        <x:v>0.3970588235294118</x:v>
      </x:c>
      <x:c r="AG145" s="45" t="n">
        <x:v>0.5784313725490197</x:v>
      </x:c>
      <x:c r="AH145" s="44" t="n">
        <x:v>0.9117647058823529</x:v>
      </x:c>
      <x:c r="AI145" s="44" t="n">
        <x:v>0.08823529411764706</x:v>
      </x:c>
      <x:c r="AJ145" s="45" t="n">
        <x:v>0.7352941176470589</x:v>
      </x:c>
      <x:c r="AK145" s="45" t="n">
        <x:v>0.5166666666666666</x:v>
      </x:c>
      <x:c r="AL145" s="45" t="n">
        <x:v>0.4973856209150327</x:v>
      </x:c>
      <x:c r="AM145" s="44" t="n">
        <x:v>0.48774509803921573</x:v>
      </x:c>
    </x:row>
    <x:row r="146" ht="15" hidden="0" customHeight="1">
      <x:c r="A146" s="44" t="str">
        <x:v>139-013</x:v>
      </x:c>
      <x:c r="B146" s="44" t="str">
        <x:v>Mohra Moradu stupa and monastery</x:v>
      </x:c>
      <x:c r="C146" s="44" t="n">
        <x:v>500</x:v>
      </x:c>
      <x:c r="D146" s="44" t="str">
        <x:v>E2009</x:v>
      </x:c>
      <x:c r="E146" s="44" t="n">
        <x:v>2009</x:v>
      </x:c>
      <x:c r="F146" s="44" t="n">
        <x:v>871</x:v>
      </x:c>
      <x:c r="G146" s="45" t="n">
        <x:v>0.3756785988807678</x:v>
      </x:c>
      <x:c r="H146" s="44" t="n">
        <x:v>0.29396340250968933</x:v>
      </x:c>
      <x:c r="I146" s="44" t="n">
        <x:v>0.48389482498168945</x:v>
      </x:c>
      <x:c r="J146" s="45" t="n">
        <x:v>-0.036064863204956055</x:v>
      </x:c>
      <x:c r="K146" s="44" t="n">
        <x:v>-0.14819544553756714</x:v>
      </x:c>
      <x:c r="L146" s="44" t="n">
        <x:v>0.0676727145910263</x:v>
      </x:c>
      <x:c r="M146" s="45" t="n">
        <x:v>-0.4093112647533417</x:v>
      </x:c>
      <x:c r="N146" s="44" t="n">
        <x:v>-0.45657479763031006</x:v>
      </x:c>
      <x:c r="O146" s="44" t="n">
        <x:v>-0.3405439853668213</x:v>
      </x:c>
      <x:c r="P146" s="45" t="n">
        <x:v>0.04083375632762909</x:v>
      </x:c>
      <x:c r="Q146" s="44" t="n">
        <x:v>-0.06257754564285278</x:v>
      </x:c>
      <x:c r="R146" s="44" t="n">
        <x:v>0.13266094028949738</x:v>
      </x:c>
      <x:c r="S146" s="44" t="n">
        <x:v>871</x:v>
      </x:c>
      <x:c r="T146" s="44" t="n">
        <x:v>0.17336394948335246</x:v>
      </x:c>
      <x:c r="U146" s="44" t="n">
        <x:v>0.002296211251435132</x:v>
      </x:c>
      <x:c r="V146" s="44" t="n">
        <x:v>0.3869115958668197</x:v>
      </x:c>
      <x:c r="W146" s="44" t="n">
        <x:v>0.1010332950631458</x:v>
      </x:c>
      <x:c r="X146" s="44" t="n">
        <x:v>0.33639494833524686</x:v>
      </x:c>
      <x:c r="Y146" s="44" t="n">
        <x:v>0</x:v>
      </x:c>
      <x:c r="Z146" s="44" t="n">
        <x:v>0.6176470588235294</x:v>
      </x:c>
      <x:c r="AA146" s="45" t="n">
        <x:v>0.22941176470588234</x:v>
      </x:c>
      <x:c r="AB146" s="45" t="n">
        <x:v>0.5235294117647059</x:v>
      </x:c>
      <x:c r="AC146" s="45" t="n">
        <x:v>0.8176470588235294</x:v>
      </x:c>
      <x:c r="AD146" s="44" t="n">
        <x:v>0.4176470588235294</x:v>
      </x:c>
      <x:c r="AE146" s="44" t="n">
        <x:v>0.5705882352941176</x:v>
      </x:c>
      <x:c r="AF146" s="45" t="n">
        <x:v>0.39999999999999997</x:v>
      </x:c>
      <x:c r="AG146" s="45" t="n">
        <x:v>0.5784313725490197</x:v>
      </x:c>
      <x:c r="AH146" s="44" t="n">
        <x:v>0.9117647058823529</x:v>
      </x:c>
      <x:c r="AI146" s="44" t="n">
        <x:v>0.08823529411764706</x:v>
      </x:c>
      <x:c r="AJ146" s="45" t="n">
        <x:v>0.7352941176470589</x:v>
      </x:c>
      <x:c r="AK146" s="45" t="n">
        <x:v>0.462037037037037</x:v>
      </x:c>
      <x:c r="AL146" s="45" t="n">
        <x:v>0.48015613652868555</x:v>
      </x:c>
      <x:c r="AM146" s="44" t="n">
        <x:v>0.48921568627450984</x:v>
      </x:c>
    </x:row>
    <x:row r="147" ht="15" hidden="0" customHeight="1">
      <x:c r="A147" s="44" t="str">
        <x:v>139-013</x:v>
      </x:c>
      <x:c r="B147" s="44" t="str">
        <x:v>Mohra Moradu stupa and monastery</x:v>
      </x:c>
      <x:c r="C147" s="44" t="n">
        <x:v>500</x:v>
      </x:c>
      <x:c r="D147" s="44" t="str">
        <x:v>E2014</x:v>
      </x:c>
      <x:c r="E147" s="44" t="n">
        <x:v>2014</x:v>
      </x:c>
      <x:c r="F147" s="44" t="n">
        <x:v>871</x:v>
      </x:c>
      <x:c r="G147" s="45" t="n">
        <x:v>0.39001649618148804</x:v>
      </x:c>
      <x:c r="H147" s="44" t="n">
        <x:v>0.3102315068244934</x:v>
      </x:c>
      <x:c r="I147" s="44" t="n">
        <x:v>0.5527012944221497</x:v>
      </x:c>
      <x:c r="J147" s="45" t="n">
        <x:v>-0.03987587243318558</x:v>
      </x:c>
      <x:c r="K147" s="44" t="n">
        <x:v>-0.20771999657154083</x:v>
      </x:c>
      <x:c r="L147" s="44" t="n">
        <x:v>0.06085451692342758</x:v>
      </x:c>
      <x:c r="M147" s="45" t="n">
        <x:v>-0.41355136036872864</x:v>
      </x:c>
      <x:c r="N147" s="44" t="n">
        <x:v>-0.45688745379447937</x:v>
      </x:c>
      <x:c r="O147" s="44" t="n">
        <x:v>-0.3176766633987427</x:v>
      </x:c>
      <x:c r="P147" s="45" t="n">
        <x:v>0.03800766542553902</x:v>
      </x:c>
      <x:c r="Q147" s="44" t="n">
        <x:v>-0.1086343303322792</x:v>
      </x:c>
      <x:c r="R147" s="44" t="n">
        <x:v>0.11894255876541138</x:v>
      </x:c>
      <x:c r="S147" s="44" t="n">
        <x:v>871</x:v>
      </x:c>
      <x:c r="T147" s="44" t="n">
        <x:v>0.05281285878300804</x:v>
      </x:c>
      <x:c r="U147" s="44" t="n">
        <x:v>0.016073478760045924</x:v>
      </x:c>
      <x:c r="V147" s="44" t="n">
        <x:v>0.24339839265212398</x:v>
      </x:c>
      <x:c r="W147" s="44" t="n">
        <x:v>0.1618828932261768</x:v>
      </x:c>
      <x:c r="X147" s="44" t="n">
        <x:v>0.5258323765786452</x:v>
      </x:c>
      <x:c r="Y147" s="44" t="n">
        <x:v>0</x:v>
      </x:c>
      <x:c r="Z147" s="44" t="n">
        <x:v>0.5470588235294118</x:v>
      </x:c>
      <x:c r="AA147" s="45" t="n">
        <x:v>0.3235294117647059</x:v>
      </x:c>
      <x:c r="AB147" s="45" t="n">
        <x:v>0.4647058823529412</x:v>
      </x:c>
      <x:c r="AC147" s="45" t="n">
        <x:v>0.45294117647058824</x:v>
      </x:c>
      <x:c r="AD147" s="44" t="n">
        <x:v>0.6352941176470588</x:v>
      </x:c>
      <x:c r="AE147" s="44" t="n">
        <x:v>0.5058823529411764</x:v>
      </x:c>
      <x:c r="AF147" s="45" t="n">
        <x:v>0.41470588235294115</x:v>
      </x:c>
      <x:c r="AG147" s="45" t="n">
        <x:v>0.5784313725490197</x:v>
      </x:c>
      <x:c r="AH147" s="44" t="n">
        <x:v>0.9117647058823529</x:v>
      </x:c>
      <x:c r="AI147" s="44" t="n">
        <x:v>0.08823529411764706</x:v>
      </x:c>
      <x:c r="AJ147" s="45" t="n">
        <x:v>0.7352941176470589</x:v>
      </x:c>
      <x:c r="AK147" s="45" t="n">
        <x:v>0.4842592592592592</x:v>
      </x:c>
      <x:c r="AL147" s="45" t="n">
        <x:v>0.4924655047204067</x:v>
      </x:c>
      <x:c r="AM147" s="44" t="n">
        <x:v>0.4965686274509804</x:v>
      </x:c>
    </x:row>
    <x:row r="148" ht="15" hidden="0" customHeight="1">
      <x:c r="A148" s="44" t="str">
        <x:v>139-013</x:v>
      </x:c>
      <x:c r="B148" s="44" t="str">
        <x:v>Mohra Moradu stupa and monastery</x:v>
      </x:c>
      <x:c r="C148" s="44" t="n">
        <x:v>500</x:v>
      </x:c>
      <x:c r="D148" s="44" t="str">
        <x:v>E2019</x:v>
      </x:c>
      <x:c r="E148" s="44" t="n">
        <x:v>2019</x:v>
      </x:c>
      <x:c r="F148" s="44" t="n">
        <x:v>871</x:v>
      </x:c>
      <x:c r="G148" s="45" t="n">
        <x:v>0.41531869769096375</x:v>
      </x:c>
      <x:c r="H148" s="44" t="n">
        <x:v>0.30615660548210144</x:v>
      </x:c>
      <x:c r="I148" s="44" t="n">
        <x:v>0.5747495293617249</x:v>
      </x:c>
      <x:c r="J148" s="45" t="n">
        <x:v>-0.06957853585481644</x:v>
      </x:c>
      <x:c r="K148" s="44" t="n">
        <x:v>-0.23609913885593414</x:v>
      </x:c>
      <x:c r="L148" s="44" t="n">
        <x:v>0.054382096976041794</x:v>
      </x:c>
      <x:c r="M148" s="45" t="n">
        <x:v>-0.4061495363712311</x:v>
      </x:c>
      <x:c r="N148" s="44" t="n">
        <x:v>-0.44457343220710754</x:v>
      </x:c>
      <x:c r="O148" s="44" t="n">
        <x:v>-0.3027113676071167</x:v>
      </x:c>
      <x:c r="P148" s="45" t="n">
        <x:v>0.014619331806898117</x:v>
      </x:c>
      <x:c r="Q148" s="44" t="n">
        <x:v>-0.1413469910621643</x:v>
      </x:c>
      <x:c r="R148" s="44" t="n">
        <x:v>0.11737055331468582</x:v>
      </x:c>
      <x:c r="S148" s="44" t="n">
        <x:v>871</x:v>
      </x:c>
      <x:c r="T148" s="44" t="n">
        <x:v>0.06199770378874857</x:v>
      </x:c>
      <x:c r="U148" s="44" t="n">
        <x:v>0.02066590126291619</x:v>
      </x:c>
      <x:c r="V148" s="44" t="n">
        <x:v>0.21010332950631458</x:v>
      </x:c>
      <x:c r="W148" s="44" t="n">
        <x:v>0.2617680826636051</x:v>
      </x:c>
      <x:c r="X148" s="44" t="n">
        <x:v>0.4454649827784156</x:v>
      </x:c>
      <x:c r="Y148" s="44" t="n">
        <x:v>0</x:v>
      </x:c>
      <x:c r="Z148" s="44" t="n">
        <x:v>0.4235294117647059</x:v>
      </x:c>
      <x:c r="AA148" s="45" t="n">
        <x:v>0.1588235294117647</x:v>
      </x:c>
      <x:c r="AB148" s="45" t="n">
        <x:v>0.3588235294117647</x:v>
      </x:c>
      <x:c r="AC148" s="45" t="n">
        <x:v>0.5176470588235295</x:v>
      </x:c>
      <x:c r="AD148" s="44" t="n">
        <x:v>0.711764705882353</x:v>
      </x:c>
      <x:c r="AE148" s="44" t="n">
        <x:v>0.3911764705882353</x:v>
      </x:c>
      <x:c r="AF148" s="45" t="n">
        <x:v>0.275</x:v>
      </x:c>
      <x:c r="AG148" s="45" t="n">
        <x:v>0.5784313725490197</x:v>
      </x:c>
      <x:c r="AH148" s="44" t="n">
        <x:v>0.9117647058823529</x:v>
      </x:c>
      <x:c r="AI148" s="44" t="n">
        <x:v>0.08823529411764706</x:v>
      </x:c>
      <x:c r="AJ148" s="45" t="n">
        <x:v>0.7352941176470589</x:v>
      </x:c>
      <x:c r="AK148" s="45" t="n">
        <x:v>0.3138888888888889</x:v>
      </x:c>
      <x:c r="AL148" s="45" t="n">
        <x:v>0.3891067538126362</x:v>
      </x:c>
      <x:c r="AM148" s="44" t="n">
        <x:v>0.42671568627450984</x:v>
      </x:c>
    </x:row>
    <x:row r="149" ht="15" hidden="0" customHeight="1">
      <x:c r="A149" s="44" t="str">
        <x:v>139-013</x:v>
      </x:c>
      <x:c r="B149" s="44" t="str">
        <x:v>Mohra Moradu stupa and monastery</x:v>
      </x:c>
      <x:c r="C149" s="44" t="n">
        <x:v>500</x:v>
      </x:c>
      <x:c r="D149" s="44" t="str">
        <x:v>E2024</x:v>
      </x:c>
      <x:c r="E149" s="44" t="n">
        <x:v>2024</x:v>
      </x:c>
      <x:c r="F149" s="44" t="n">
        <x:v>871</x:v>
      </x:c>
      <x:c r="G149" s="45" t="n">
        <x:v>0.5061436891555786</x:v>
      </x:c>
      <x:c r="H149" s="44" t="n">
        <x:v>0.3982882499694824</x:v>
      </x:c>
      <x:c r="I149" s="44" t="n">
        <x:v>0.6546245217323303</x:v>
      </x:c>
      <x:c r="J149" s="45" t="n">
        <x:v>-0.11243543028831482</x:v>
      </x:c>
      <x:c r="K149" s="44" t="n">
        <x:v>-0.264221727848053</x:v>
      </x:c>
      <x:c r="L149" s="44" t="n">
        <x:v>-0.009611628018319607</x:v>
      </x:c>
      <x:c r="M149" s="45" t="n">
        <x:v>-0.42974093556404114</x:v>
      </x:c>
      <x:c r="N149" s="44" t="n">
        <x:v>-0.4693896770477295</x:v>
      </x:c>
      <x:c r="O149" s="44" t="n">
        <x:v>-0.36990195512771606</x:v>
      </x:c>
      <x:c r="P149" s="45" t="n">
        <x:v>-0.02683718129992485</x:v>
      </x:c>
      <x:c r="Q149" s="44" t="n">
        <x:v>-0.17348389327526093</x:v>
      </x:c>
      <x:c r="R149" s="44" t="n">
        <x:v>0.05848265066742897</x:v>
      </x:c>
      <x:c r="S149" s="44" t="n">
        <x:v>871</x:v>
      </x:c>
      <x:c r="T149" s="44" t="n">
        <x:v>0.024110218140068886</x:v>
      </x:c>
      <x:c r="U149" s="44" t="n">
        <x:v>0.0057405281285878304</x:v>
      </x:c>
      <x:c r="V149" s="44" t="n">
        <x:v>0.1584385763490241</x:v>
      </x:c>
      <x:c r="W149" s="44" t="n">
        <x:v>0.4018369690011481</x:v>
      </x:c>
      <x:c r="X149" s="44" t="n">
        <x:v>0.40987370838117104</x:v>
      </x:c>
      <x:c r="Y149" s="44" t="n">
        <x:v>0</x:v>
      </x:c>
      <x:c r="Z149" s="44" t="n">
        <x:v>0.20588235294117646</x:v>
      </x:c>
      <x:c r="AA149" s="45" t="n">
        <x:v>0.7823529411764706</x:v>
      </x:c>
      <x:c r="AB149" s="45" t="n">
        <x:v>0.22941176470588234</x:v>
      </x:c>
      <x:c r="AC149" s="45" t="n">
        <x:v>0.28823529411764703</x:v>
      </x:c>
      <x:c r="AD149" s="44" t="n">
        <x:v>0.4764705882352941</x:v>
      </x:c>
      <x:c r="AE149" s="44" t="n">
        <x:v>0.21764705882352942</x:v>
      </x:c>
      <x:c r="AF149" s="45" t="n">
        <x:v>0.5</x:v>
      </x:c>
      <x:c r="AG149" s="45" t="n">
        <x:v>0.5784313725490197</x:v>
      </x:c>
      <x:c r="AH149" s="44" t="n">
        <x:v>0.9117647058823529</x:v>
      </x:c>
      <x:c r="AI149" s="44" t="n">
        <x:v>0.08823529411764706</x:v>
      </x:c>
      <x:c r="AJ149" s="45" t="n">
        <x:v>0.7352941176470589</x:v>
      </x:c>
      <x:c r="AK149" s="45" t="n">
        <x:v>0.5259259259259259</x:v>
      </x:c>
      <x:c r="AL149" s="45" t="n">
        <x:v>0.5347857661583152</x:v>
      </x:c>
      <x:c r="AM149" s="44" t="n">
        <x:v>0.5392156862745099</x:v>
      </x:c>
    </x:row>
    <x:row r="150" ht="15" hidden="0" customHeight="1">
      <x:c r="A150" s="44" t="str">
        <x:v>139-014</x:v>
      </x:c>
      <x:c r="B150" s="44" t="str">
        <x:v>Pippala stupa and monastery</x:v>
      </x:c>
      <x:c r="C150" s="44" t="n">
        <x:v>500</x:v>
      </x:c>
      <x:c r="D150" s="44" t="str">
        <x:v>E2004</x:v>
      </x:c>
      <x:c r="E150" s="44" t="n">
        <x:v>2004</x:v>
      </x:c>
      <x:c r="F150" s="44" t="n">
        <x:v>872</x:v>
      </x:c>
      <x:c r="G150" s="45" t="n">
        <x:v>0.38317573070526123</x:v>
      </x:c>
      <x:c r="H150" s="44" t="n">
        <x:v>0.3080945312976837</x:v>
      </x:c>
      <x:c r="I150" s="44" t="n">
        <x:v>0.49244996905326843</x:v>
      </x:c>
      <x:c r="J150" s="45" t="n">
        <x:v>-0.024384755641222</x:v>
      </x:c>
      <x:c r="K150" s="44" t="n">
        <x:v>-0.11365672200918198</x:v>
      </x:c>
      <x:c r="L150" s="44" t="n">
        <x:v>0.06160015985369682</x:v>
      </x:c>
      <x:c r="M150" s="45" t="n">
        <x:v>-0.43099358677864075</x:v>
      </x:c>
      <x:c r="N150" s="44" t="n">
        <x:v>-0.46803179383277893</x:v>
      </x:c>
      <x:c r="O150" s="44" t="n">
        <x:v>-0.3831630349159241</x:v>
      </x:c>
      <x:c r="P150" s="45" t="n">
        <x:v>0.055057741701602936</x:v>
      </x:c>
      <x:c r="Q150" s="44" t="n">
        <x:v>-0.02860327996313572</x:v>
      </x:c>
      <x:c r="R150" s="44" t="n">
        <x:v>0.12464503943920135</x:v>
      </x:c>
      <x:c r="S150" s="44" t="n">
        <x:v>872</x:v>
      </x:c>
      <x:c r="T150" s="44" t="n">
        <x:v>0.08486238532110092</x:v>
      </x:c>
      <x:c r="U150" s="44" t="n">
        <x:v>0.0011467889908256881</x:v>
      </x:c>
      <x:c r="V150" s="44" t="n">
        <x:v>0.5149082568807339</x:v>
      </x:c>
      <x:c r="W150" s="44" t="n">
        <x:v>0.0768348623853211</x:v>
      </x:c>
      <x:c r="X150" s="44" t="n">
        <x:v>0.32224770642201833</x:v>
      </x:c>
      <x:c r="Y150" s="44" t="n">
        <x:v>0</x:v>
      </x:c>
      <x:c r="Z150" s="44" t="n">
        <x:v>0.5588235294117647</x:v>
      </x:c>
      <x:c r="AA150" s="45" t="n">
        <x:v>0.8176470588235294</x:v>
      </x:c>
      <x:c r="AB150" s="45" t="n">
        <x:v>0.6176470588235294</x:v>
      </x:c>
      <x:c r="AC150" s="45" t="n">
        <x:v>0.6058823529411764</x:v>
      </x:c>
      <x:c r="AD150" s="44" t="n">
        <x:v>0.3235294117647059</x:v>
      </x:c>
      <x:c r="AE150" s="44" t="n">
        <x:v>0.5882352941176471</x:v>
      </x:c>
      <x:c r="AF150" s="45" t="n">
        <x:v>0.7029411764705882</x:v>
      </x:c>
      <x:c r="AG150" s="45" t="n">
        <x:v>0.5490196078431372</x:v>
      </x:c>
      <x:c r="AH150" s="44" t="n">
        <x:v>0.5588235294117647</x:v>
      </x:c>
      <x:c r="AI150" s="44" t="n">
        <x:v>0.47058823529411764</x:v>
      </x:c>
      <x:c r="AJ150" s="45" t="n">
        <x:v>0.6176470588235294</x:v>
      </x:c>
      <x:c r="AK150" s="45" t="n">
        <x:v>0.5166666666666666</x:v>
      </x:c>
      <x:c r="AL150" s="45" t="n">
        <x:v>0.5895424836601307</x:v>
      </x:c>
      <x:c r="AM150" s="44" t="n">
        <x:v>0.6259803921568627</x:v>
      </x:c>
    </x:row>
    <x:row r="151" ht="15" hidden="0" customHeight="1">
      <x:c r="A151" s="44" t="str">
        <x:v>139-014</x:v>
      </x:c>
      <x:c r="B151" s="44" t="str">
        <x:v>Pippala stupa and monastery</x:v>
      </x:c>
      <x:c r="C151" s="44" t="n">
        <x:v>500</x:v>
      </x:c>
      <x:c r="D151" s="44" t="str">
        <x:v>E2009</x:v>
      </x:c>
      <x:c r="E151" s="44" t="n">
        <x:v>2009</x:v>
      </x:c>
      <x:c r="F151" s="44" t="n">
        <x:v>872</x:v>
      </x:c>
      <x:c r="G151" s="45" t="n">
        <x:v>0.37152448296546936</x:v>
      </x:c>
      <x:c r="H151" s="44" t="n">
        <x:v>0.2959432899951935</x:v>
      </x:c>
      <x:c r="I151" s="44" t="n">
        <x:v>0.46515119075775146</x:v>
      </x:c>
      <x:c r="J151" s="45" t="n">
        <x:v>-0.02009071409702301</x:v>
      </x:c>
      <x:c r="K151" s="44" t="n">
        <x:v>-0.1096375361084938</x:v>
      </x:c>
      <x:c r="L151" s="44" t="n">
        <x:v>0.078512042760849</x:v>
      </x:c>
      <x:c r="M151" s="45" t="n">
        <x:v>-0.42150968313217163</x:v>
      </x:c>
      <x:c r="N151" s="44" t="n">
        <x:v>-0.469501793384552</x:v>
      </x:c>
      <x:c r="O151" s="44" t="n">
        <x:v>-0.3744123578071594</x:v>
      </x:c>
      <x:c r="P151" s="45" t="n">
        <x:v>0.05627795681357384</x:v>
      </x:c>
      <x:c r="Q151" s="44" t="n">
        <x:v>-0.028082532808184624</x:v>
      </x:c>
      <x:c r="R151" s="44" t="n">
        <x:v>0.14024993777275085</x:v>
      </x:c>
      <x:c r="S151" s="44" t="n">
        <x:v>872</x:v>
      </x:c>
      <x:c r="T151" s="44" t="n">
        <x:v>0.10550458715596331</x:v>
      </x:c>
      <x:c r="U151" s="44" t="n">
        <x:v>0</x:v>
      </x:c>
      <x:c r="V151" s="44" t="n">
        <x:v>0.588302752293578</x:v>
      </x:c>
      <x:c r="W151" s="44" t="n">
        <x:v>0.04357798165137615</x:v>
      </x:c>
      <x:c r="X151" s="44" t="n">
        <x:v>0.2626146788990826</x:v>
      </x:c>
      <x:c r="Y151" s="44" t="n">
        <x:v>0</x:v>
      </x:c>
      <x:c r="Z151" s="44" t="n">
        <x:v>0.6411764705882353</x:v>
      </x:c>
      <x:c r="AA151" s="45" t="n">
        <x:v>0.5588235294117647</x:v>
      </x:c>
      <x:c r="AB151" s="45" t="n">
        <x:v>0.6882352941176471</x:v>
      </x:c>
      <x:c r="AC151" s="45" t="n">
        <x:v>0.6764705882352942</x:v>
      </x:c>
      <x:c r="AD151" s="44" t="n">
        <x:v>0.15294117647058825</x:v>
      </x:c>
      <x:c r="AE151" s="44" t="n">
        <x:v>0.6647058823529413</x:v>
      </x:c>
      <x:c r="AF151" s="45" t="n">
        <x:v>0.611764705882353</x:v>
      </x:c>
      <x:c r="AG151" s="45" t="n">
        <x:v>0.5490196078431372</x:v>
      </x:c>
      <x:c r="AH151" s="44" t="n">
        <x:v>0.5588235294117647</x:v>
      </x:c>
      <x:c r="AI151" s="44" t="n">
        <x:v>0.47058823529411764</x:v>
      </x:c>
      <x:c r="AJ151" s="45" t="n">
        <x:v>0.6176470588235294</x:v>
      </x:c>
      <x:c r="AK151" s="45" t="n">
        <x:v>0.462037037037037</x:v>
      </x:c>
      <x:c r="AL151" s="45" t="n">
        <x:v>0.5409404502541757</x:v>
      </x:c>
      <x:c r="AM151" s="44" t="n">
        <x:v>0.580392156862745</x:v>
      </x:c>
    </x:row>
    <x:row r="152" ht="15" hidden="0" customHeight="1">
      <x:c r="A152" s="44" t="str">
        <x:v>139-014</x:v>
      </x:c>
      <x:c r="B152" s="44" t="str">
        <x:v>Pippala stupa and monastery</x:v>
      </x:c>
      <x:c r="C152" s="44" t="n">
        <x:v>500</x:v>
      </x:c>
      <x:c r="D152" s="44" t="str">
        <x:v>E2014</x:v>
      </x:c>
      <x:c r="E152" s="44" t="n">
        <x:v>2014</x:v>
      </x:c>
      <x:c r="F152" s="44" t="n">
        <x:v>872</x:v>
      </x:c>
      <x:c r="G152" s="45" t="n">
        <x:v>0.37637999653816223</x:v>
      </x:c>
      <x:c r="H152" s="44" t="n">
        <x:v>0.28868839144706726</x:v>
      </x:c>
      <x:c r="I152" s="44" t="n">
        <x:v>0.5001736879348755</x:v>
      </x:c>
      <x:c r="J152" s="45" t="n">
        <x:v>-0.0044280411675572395</x:v>
      </x:c>
      <x:c r="K152" s="44" t="n">
        <x:v>-0.11791090667247772</x:v>
      </x:c>
      <x:c r="L152" s="44" t="n">
        <x:v>0.07617408037185669</x:v>
      </x:c>
      <x:c r="M152" s="45" t="n">
        <x:v>-0.4177568554878235</x:v>
      </x:c>
      <x:c r="N152" s="44" t="n">
        <x:v>-0.4642011821269989</x:v>
      </x:c>
      <x:c r="O152" s="44" t="n">
        <x:v>-0.36983105540275574</x:v>
      </x:c>
      <x:c r="P152" s="45" t="n">
        <x:v>0.06779308617115021</x:v>
      </x:c>
      <x:c r="Q152" s="44" t="n">
        <x:v>-0.03139154985547066</x:v>
      </x:c>
      <x:c r="R152" s="44" t="n">
        <x:v>0.12872707843780518</x:v>
      </x:c>
      <x:c r="S152" s="44" t="n">
        <x:v>872</x:v>
      </x:c>
      <x:c r="T152" s="44" t="n">
        <x:v>0.08256880733944955</x:v>
      </x:c>
      <x:c r="U152" s="44" t="n">
        <x:v>0.016055045871559634</x:v>
      </x:c>
      <x:c r="V152" s="44" t="n">
        <x:v>0.463302752293578</x:v>
      </x:c>
      <x:c r="W152" s="44" t="n">
        <x:v>0.09518348623853211</x:v>
      </x:c>
      <x:c r="X152" s="44" t="n">
        <x:v>0.34288990825688076</x:v>
      </x:c>
      <x:c r="Y152" s="44" t="n">
        <x:v>0</x:v>
      </x:c>
      <x:c r="Z152" s="44" t="n">
        <x:v>0.6058823529411764</x:v>
      </x:c>
      <x:c r="AA152" s="45" t="n">
        <x:v>0.4411764705882353</x:v>
      </x:c>
      <x:c r="AB152" s="45" t="n">
        <x:v>0.8294117647058824</x:v>
      </x:c>
      <x:c r="AC152" s="45" t="n">
        <x:v>0.5941176470588235</x:v>
      </x:c>
      <x:c r="AD152" s="44" t="n">
        <x:v>0.6176470588235294</x:v>
      </x:c>
      <x:c r="AE152" s="44" t="n">
        <x:v>0.7176470588235294</x:v>
      </x:c>
      <x:c r="AF152" s="45" t="n">
        <x:v>0.5794117647058823</x:v>
      </x:c>
      <x:c r="AG152" s="45" t="n">
        <x:v>0.5490196078431372</x:v>
      </x:c>
      <x:c r="AH152" s="44" t="n">
        <x:v>0.5588235294117647</x:v>
      </x:c>
      <x:c r="AI152" s="44" t="n">
        <x:v>0.47058823529411764</x:v>
      </x:c>
      <x:c r="AJ152" s="45" t="n">
        <x:v>0.6176470588235294</x:v>
      </x:c>
      <x:c r="AK152" s="45" t="n">
        <x:v>0.4842592592592592</x:v>
      </x:c>
      <x:c r="AL152" s="45" t="n">
        <x:v>0.537563543936093</x:v>
      </x:c>
      <x:c r="AM152" s="44" t="n">
        <x:v>0.5642156862745098</x:v>
      </x:c>
    </x:row>
    <x:row r="153" ht="15" hidden="0" customHeight="1">
      <x:c r="A153" s="44" t="str">
        <x:v>139-014</x:v>
      </x:c>
      <x:c r="B153" s="44" t="str">
        <x:v>Pippala stupa and monastery</x:v>
      </x:c>
      <x:c r="C153" s="44" t="n">
        <x:v>500</x:v>
      </x:c>
      <x:c r="D153" s="44" t="str">
        <x:v>E2019</x:v>
      </x:c>
      <x:c r="E153" s="44" t="n">
        <x:v>2019</x:v>
      </x:c>
      <x:c r="F153" s="44" t="n">
        <x:v>871</x:v>
      </x:c>
      <x:c r="G153" s="45" t="n">
        <x:v>0.3987109661102295</x:v>
      </x:c>
      <x:c r="H153" s="44" t="n">
        <x:v>0.28064262866973877</x:v>
      </x:c>
      <x:c r="I153" s="44" t="n">
        <x:v>0.5317394137382507</x:v>
      </x:c>
      <x:c r="J153" s="45" t="n">
        <x:v>-0.038198087364435196</x:v>
      </x:c>
      <x:c r="K153" s="44" t="n">
        <x:v>-0.15478812158107758</x:v>
      </x:c>
      <x:c r="L153" s="44" t="n">
        <x:v>0.06622442603111267</x:v>
      </x:c>
      <x:c r="M153" s="45" t="n">
        <x:v>-0.4087512791156769</x:v>
      </x:c>
      <x:c r="N153" s="44" t="n">
        <x:v>-0.44518211483955383</x:v>
      </x:c>
      <x:c r="O153" s="44" t="n">
        <x:v>-0.3539646863937378</x:v>
      </x:c>
      <x:c r="P153" s="45" t="n">
        <x:v>0.0431765578687191</x:v>
      </x:c>
      <x:c r="Q153" s="44" t="n">
        <x:v>-0.06332971900701523</x:v>
      </x:c>
      <x:c r="R153" s="44" t="n">
        <x:v>0.12571558356285095</x:v>
      </x:c>
      <x:c r="S153" s="44" t="n">
        <x:v>871</x:v>
      </x:c>
      <x:c r="T153" s="44" t="n">
        <x:v>0.12169919632606199</x:v>
      </x:c>
      <x:c r="U153" s="44" t="n">
        <x:v>0.03903559127439724</x:v>
      </x:c>
      <x:c r="V153" s="44" t="n">
        <x:v>0.4902411021814007</x:v>
      </x:c>
      <x:c r="W153" s="44" t="n">
        <x:v>0.1113662456946039</x:v>
      </x:c>
      <x:c r="X153" s="44" t="n">
        <x:v>0.23765786452353616</x:v>
      </x:c>
      <x:c r="Y153" s="44" t="n">
        <x:v>0</x:v>
      </x:c>
      <x:c r="Z153" s="44" t="n">
        <x:v>0.48823529411764705</x:v>
      </x:c>
      <x:c r="AA153" s="45" t="n">
        <x:v>0.20588235294117646</x:v>
      </x:c>
      <x:c r="AB153" s="45" t="n">
        <x:v>0.5</x:v>
      </x:c>
      <x:c r="AC153" s="45" t="n">
        <x:v>0.7352941176470589</x:v>
      </x:c>
      <x:c r="AD153" s="44" t="n">
        <x:v>0.8294117647058824</x:v>
      </x:c>
      <x:c r="AE153" s="44" t="n">
        <x:v>0.49411764705882355</x:v>
      </x:c>
      <x:c r="AF153" s="45" t="n">
        <x:v>0.35</x:v>
      </x:c>
      <x:c r="AG153" s="45" t="n">
        <x:v>0.5490196078431372</x:v>
      </x:c>
      <x:c r="AH153" s="44" t="n">
        <x:v>0.5588235294117647</x:v>
      </x:c>
      <x:c r="AI153" s="44" t="n">
        <x:v>0.47058823529411764</x:v>
      </x:c>
      <x:c r="AJ153" s="45" t="n">
        <x:v>0.6176470588235294</x:v>
      </x:c>
      <x:c r="AK153" s="45" t="n">
        <x:v>0.3138888888888889</x:v>
      </x:c>
      <x:c r="AL153" s="45" t="n">
        <x:v>0.4043028322440087</x:v>
      </x:c>
      <x:c r="AM153" s="44" t="n">
        <x:v>0.4495098039215686</x:v>
      </x:c>
    </x:row>
    <x:row r="154" ht="15" hidden="0" customHeight="1">
      <x:c r="A154" s="44" t="str">
        <x:v>139-014</x:v>
      </x:c>
      <x:c r="B154" s="44" t="str">
        <x:v>Pippala stupa and monastery</x:v>
      </x:c>
      <x:c r="C154" s="44" t="n">
        <x:v>500</x:v>
      </x:c>
      <x:c r="D154" s="44" t="str">
        <x:v>E2024</x:v>
      </x:c>
      <x:c r="E154" s="44" t="n">
        <x:v>2024</x:v>
      </x:c>
      <x:c r="F154" s="44" t="n">
        <x:v>872</x:v>
      </x:c>
      <x:c r="G154" s="45" t="n">
        <x:v>0.42995619773864746</x:v>
      </x:c>
      <x:c r="H154" s="44" t="n">
        <x:v>0.3208649158477783</x:v>
      </x:c>
      <x:c r="I154" s="44" t="n">
        <x:v>0.565222442150116</x:v>
      </x:c>
      <x:c r="J154" s="45" t="n">
        <x:v>-0.051972635090351105</x:v>
      </x:c>
      <x:c r="K154" s="44" t="n">
        <x:v>-0.16498613357543945</x:v>
      </x:c>
      <x:c r="L154" s="44" t="n">
        <x:v>0.03192247077822685</x:v>
      </x:c>
      <x:c r="M154" s="45" t="n">
        <x:v>-0.4188007116317749</x:v>
      </x:c>
      <x:c r="N154" s="44" t="n">
        <x:v>-0.4557531476020813</x:v>
      </x:c>
      <x:c r="O154" s="44" t="n">
        <x:v>-0.37541458010673523</x:v>
      </x:c>
      <x:c r="P154" s="45" t="n">
        <x:v>0.028325403109192848</x:v>
      </x:c>
      <x:c r="Q154" s="44" t="n">
        <x:v>-0.07630858570337296</x:v>
      </x:c>
      <x:c r="R154" s="44" t="n">
        <x:v>0.09891047328710556</x:v>
      </x:c>
      <x:c r="S154" s="44" t="n">
        <x:v>872</x:v>
      </x:c>
      <x:c r="T154" s="44" t="n">
        <x:v>0.06995412844036697</x:v>
      </x:c>
      <x:c r="U154" s="44" t="n">
        <x:v>0.0194954128440367</x:v>
      </x:c>
      <x:c r="V154" s="44" t="n">
        <x:v>0.49655963302752293</x:v>
      </x:c>
      <x:c r="W154" s="44" t="n">
        <x:v>0.15022935779816513</x:v>
      </x:c>
      <x:c r="X154" s="44" t="n">
        <x:v>0.26376146788990823</x:v>
      </x:c>
      <x:c r="Y154" s="44" t="n">
        <x:v>0</x:v>
      </x:c>
      <x:c r="Z154" s="44" t="n">
        <x:v>0.38235294117647056</x:v>
      </x:c>
      <x:c r="AA154" s="45" t="n">
        <x:v>0.5117647058823529</x:v>
      </x:c>
      <x:c r="AB154" s="45" t="n">
        <x:v>0.40588235294117647</x:v>
      </x:c>
      <x:c r="AC154" s="45" t="n">
        <x:v>0.5705882352941176</x:v>
      </x:c>
      <x:c r="AD154" s="44" t="n">
        <x:v>0.7</x:v>
      </x:c>
      <x:c r="AE154" s="44" t="n">
        <x:v>0.3941176470588235</x:v>
      </x:c>
      <x:c r="AF154" s="45" t="n">
        <x:v>0.4529411764705882</x:v>
      </x:c>
      <x:c r="AG154" s="45" t="n">
        <x:v>0.5490196078431372</x:v>
      </x:c>
      <x:c r="AH154" s="44" t="n">
        <x:v>0.5588235294117647</x:v>
      </x:c>
      <x:c r="AI154" s="44" t="n">
        <x:v>0.47058823529411764</x:v>
      </x:c>
      <x:c r="AJ154" s="45" t="n">
        <x:v>0.6176470588235294</x:v>
      </x:c>
      <x:c r="AK154" s="45" t="n">
        <x:v>0.5259259259259259</x:v>
      </x:c>
      <x:c r="AL154" s="45" t="n">
        <x:v>0.5092955700798838</x:v>
      </x:c>
      <x:c r="AM154" s="44" t="n">
        <x:v>0.5009803921568627</x:v>
      </x:c>
    </x:row>
    <x:row r="155" ht="15" hidden="0" customHeight="1">
      <x:c r="A155" s="44" t="str">
        <x:v>139-015</x:v>
      </x:c>
      <x:c r="B155" s="44" t="str">
        <x:v>Jaulian stupa and monastery</x:v>
      </x:c>
      <x:c r="C155" s="44" t="n">
        <x:v>500</x:v>
      </x:c>
      <x:c r="D155" s="44" t="str">
        <x:v>E2004</x:v>
      </x:c>
      <x:c r="E155" s="44" t="n">
        <x:v>2004</x:v>
      </x:c>
      <x:c r="F155" s="44" t="n">
        <x:v>870</x:v>
      </x:c>
      <x:c r="G155" s="45" t="n">
        <x:v>0.3623836636543274</x:v>
      </x:c>
      <x:c r="H155" s="44" t="n">
        <x:v>0.3030141294002533</x:v>
      </x:c>
      <x:c r="I155" s="44" t="n">
        <x:v>0.4782928228378296</x:v>
      </x:c>
      <x:c r="J155" s="45" t="n">
        <x:v>-0.013134283944964409</x:v>
      </x:c>
      <x:c r="K155" s="44" t="n">
        <x:v>-0.11955414712429047</x:v>
      </x:c>
      <x:c r="L155" s="44" t="n">
        <x:v>0.049134112894535065</x:v>
      </x:c>
      <x:c r="M155" s="45" t="n">
        <x:v>-0.4218340516090393</x:v>
      </x:c>
      <x:c r="N155" s="44" t="n">
        <x:v>-0.46535807847976685</x:v>
      </x:c>
      <x:c r="O155" s="44" t="n">
        <x:v>-0.3486078977584839</x:v>
      </x:c>
      <x:c r="P155" s="45" t="n">
        <x:v>0.06475470215082169</x:v>
      </x:c>
      <x:c r="Q155" s="44" t="n">
        <x:v>-0.028088513761758804</x:v>
      </x:c>
      <x:c r="R155" s="44" t="n">
        <x:v>0.11863498389720917</x:v>
      </x:c>
      <x:c r="S155" s="44" t="n">
        <x:v>870</x:v>
      </x:c>
      <x:c r="T155" s="44" t="n">
        <x:v>0.135632183908046</x:v>
      </x:c>
      <x:c r="U155" s="44" t="n">
        <x:v>0.0011494252873563218</x:v>
      </x:c>
      <x:c r="V155" s="44" t="n">
        <x:v>0.43333333333333335</x:v>
      </x:c>
      <x:c r="W155" s="44" t="n">
        <x:v>0.06551724137931035</x:v>
      </x:c>
      <x:c r="X155" s="44" t="n">
        <x:v>0.364367816091954</x:v>
      </x:c>
      <x:c r="Y155" s="44" t="n">
        <x:v>0</x:v>
      </x:c>
      <x:c r="Z155" s="44" t="n">
        <x:v>0.7588235294117647</x:v>
      </x:c>
      <x:c r="AA155" s="45" t="n">
        <x:v>0.5823529411764706</x:v>
      </x:c>
      <x:c r="AB155" s="45" t="n">
        <x:v>0.7352941176470589</x:v>
      </x:c>
      <x:c r="AC155" s="45" t="n">
        <x:v>0.7470588235294118</x:v>
      </x:c>
      <x:c r="AD155" s="44" t="n">
        <x:v>0.36470588235294116</x:v>
      </x:c>
      <x:c r="AE155" s="44" t="n">
        <x:v>0.7470588235294118</x:v>
      </x:c>
      <x:c r="AF155" s="45" t="n">
        <x:v>0.6647058823529413</x:v>
      </x:c>
      <x:c r="AG155" s="45" t="n">
        <x:v>0.6176470588235294</x:v>
      </x:c>
      <x:c r="AH155" s="44" t="n">
        <x:v>0.7352941176470589</x:v>
      </x:c>
      <x:c r="AI155" s="44" t="n">
        <x:v>0.20588235294117646</x:v>
      </x:c>
      <x:c r="AJ155" s="45" t="n">
        <x:v>0.9117647058823529</x:v>
      </x:c>
      <x:c r="AK155" s="45" t="n">
        <x:v>0.5166666666666666</x:v>
      </x:c>
      <x:c r="AL155" s="45" t="n">
        <x:v>0.5996732026143791</x:v>
      </x:c>
      <x:c r="AM155" s="44" t="n">
        <x:v>0.6411764705882353</x:v>
      </x:c>
    </x:row>
    <x:row r="156" ht="15" hidden="0" customHeight="1">
      <x:c r="A156" s="44" t="str">
        <x:v>139-015</x:v>
      </x:c>
      <x:c r="B156" s="44" t="str">
        <x:v>Jaulian stupa and monastery</x:v>
      </x:c>
      <x:c r="C156" s="44" t="n">
        <x:v>500</x:v>
      </x:c>
      <x:c r="D156" s="44" t="str">
        <x:v>E2009</x:v>
      </x:c>
      <x:c r="E156" s="44" t="n">
        <x:v>2009</x:v>
      </x:c>
      <x:c r="F156" s="44" t="n">
        <x:v>870</x:v>
      </x:c>
      <x:c r="G156" s="45" t="n">
        <x:v>0.36886996030807495</x:v>
      </x:c>
      <x:c r="H156" s="44" t="n">
        <x:v>0.3017110526561737</x:v>
      </x:c>
      <x:c r="I156" s="44" t="n">
        <x:v>0.4741121232509613</x:v>
      </x:c>
      <x:c r="J156" s="45" t="n">
        <x:v>-0.017462365329265594</x:v>
      </x:c>
      <x:c r="K156" s="44" t="n">
        <x:v>-0.121303491294384</x:v>
      </x:c>
      <x:c r="L156" s="44" t="n">
        <x:v>0.060032911598682404</x:v>
      </x:c>
      <x:c r="M156" s="45" t="n">
        <x:v>-0.4215691089630127</x:v>
      </x:c>
      <x:c r="N156" s="44" t="n">
        <x:v>-0.46780189871788025</x:v>
      </x:c>
      <x:c r="O156" s="44" t="n">
        <x:v>-0.3701787292957306</x:v>
      </x:c>
      <x:c r="P156" s="45" t="n">
        <x:v>0.056566573679447174</x:v>
      </x:c>
      <x:c r="Q156" s="44" t="n">
        <x:v>-0.03886054828763008</x:v>
      </x:c>
      <x:c r="R156" s="44" t="n">
        <x:v>0.12671013176441193</x:v>
      </x:c>
      <x:c r="S156" s="44" t="n">
        <x:v>870</x:v>
      </x:c>
      <x:c r="T156" s="44" t="n">
        <x:v>0.11609195402298851</x:v>
      </x:c>
      <x:c r="U156" s="44" t="n">
        <x:v>0.0011494252873563218</x:v>
      </x:c>
      <x:c r="V156" s="44" t="n">
        <x:v>0.4781609195402299</x:v>
      </x:c>
      <x:c r="W156" s="44" t="n">
        <x:v>0.07011494252873564</x:v>
      </x:c>
      <x:c r="X156" s="44" t="n">
        <x:v>0.33448275862068966</x:v>
      </x:c>
      <x:c r="Y156" s="44" t="n">
        <x:v>0</x:v>
      </x:c>
      <x:c r="Z156" s="44" t="n">
        <x:v>0.7</x:v>
      </x:c>
      <x:c r="AA156" s="45" t="n">
        <x:v>0.5705882352941176</x:v>
      </x:c>
      <x:c r="AB156" s="45" t="n">
        <x:v>0.7</x:v>
      </x:c>
      <x:c r="AC156" s="45" t="n">
        <x:v>0.711764705882353</x:v>
      </x:c>
      <x:c r="AD156" s="44" t="n">
        <x:v>0.36470588235294116</x:v>
      </x:c>
      <x:c r="AE156" s="44" t="n">
        <x:v>0.7</x:v>
      </x:c>
      <x:c r="AF156" s="45" t="n">
        <x:v>0.6352941176470588</x:v>
      </x:c>
      <x:c r="AG156" s="45" t="n">
        <x:v>0.6176470588235294</x:v>
      </x:c>
      <x:c r="AH156" s="44" t="n">
        <x:v>0.7352941176470589</x:v>
      </x:c>
      <x:c r="AI156" s="44" t="n">
        <x:v>0.20588235294117646</x:v>
      </x:c>
      <x:c r="AJ156" s="45" t="n">
        <x:v>0.9117647058823529</x:v>
      </x:c>
      <x:c r="AK156" s="45" t="n">
        <x:v>0.462037037037037</x:v>
      </x:c>
      <x:c r="AL156" s="45" t="n">
        <x:v>0.5716594045025417</x:v>
      </x:c>
      <x:c r="AM156" s="44" t="n">
        <x:v>0.6264705882352941</x:v>
      </x:c>
    </x:row>
    <x:row r="157" ht="15" hidden="0" customHeight="1">
      <x:c r="A157" s="44" t="str">
        <x:v>139-015</x:v>
      </x:c>
      <x:c r="B157" s="44" t="str">
        <x:v>Jaulian stupa and monastery</x:v>
      </x:c>
      <x:c r="C157" s="44" t="n">
        <x:v>500</x:v>
      </x:c>
      <x:c r="D157" s="44" t="str">
        <x:v>E2014</x:v>
      </x:c>
      <x:c r="E157" s="44" t="n">
        <x:v>2014</x:v>
      </x:c>
      <x:c r="F157" s="44" t="n">
        <x:v>870</x:v>
      </x:c>
      <x:c r="G157" s="45" t="n">
        <x:v>0.4095269441604614</x:v>
      </x:c>
      <x:c r="H157" s="44" t="n">
        <x:v>0.3360322415828705</x:v>
      </x:c>
      <x:c r="I157" s="44" t="n">
        <x:v>0.5421383380889893</x:v>
      </x:c>
      <x:c r="J157" s="45" t="n">
        <x:v>-0.03892954811453819</x:v>
      </x:c>
      <x:c r="K157" s="44" t="n">
        <x:v>-0.1477174311876297</x:v>
      </x:c>
      <x:c r="L157" s="44" t="n">
        <x:v>0.04318457469344139</x:v>
      </x:c>
      <x:c r="M157" s="45" t="n">
        <x:v>-0.42507821321487427</x:v>
      </x:c>
      <x:c r="N157" s="44" t="n">
        <x:v>-0.4617236852645874</x:v>
      </x:c>
      <x:c r="O157" s="44" t="n">
        <x:v>-0.3613348603248596</x:v>
      </x:c>
      <x:c r="P157" s="45" t="n">
        <x:v>0.04074038937687874</x:v>
      </x:c>
      <x:c r="Q157" s="44" t="n">
        <x:v>-0.06665726006031036</x:v>
      </x:c>
      <x:c r="R157" s="44" t="n">
        <x:v>0.10386991500854492</x:v>
      </x:c>
      <x:c r="S157" s="44" t="n">
        <x:v>870</x:v>
      </x:c>
      <x:c r="T157" s="44" t="n">
        <x:v>0.05862068965517241</x:v>
      </x:c>
      <x:c r="U157" s="44" t="n">
        <x:v>0.0011494252873563218</x:v>
      </x:c>
      <x:c r="V157" s="44" t="n">
        <x:v>0.3252873563218391</x:v>
      </x:c>
      <x:c r="W157" s="44" t="n">
        <x:v>0.14482758620689656</x:v>
      </x:c>
      <x:c r="X157" s="44" t="n">
        <x:v>0.47011494252873565</x:v>
      </x:c>
      <x:c r="Y157" s="44" t="n">
        <x:v>0</x:v>
      </x:c>
      <x:c r="Z157" s="44" t="n">
        <x:v>0.4411764705882353</x:v>
      </x:c>
      <x:c r="AA157" s="45" t="n">
        <x:v>0.7</x:v>
      </x:c>
      <x:c r="AB157" s="45" t="n">
        <x:v>0.48823529411764705</x:v>
      </x:c>
      <x:c r="AC157" s="45" t="n">
        <x:v>0.48823529411764705</x:v>
      </x:c>
      <x:c r="AD157" s="44" t="n">
        <x:v>0.36470588235294116</x:v>
      </x:c>
      <x:c r="AE157" s="44" t="n">
        <x:v>0.4647058823529412</x:v>
      </x:c>
      <x:c r="AF157" s="45" t="n">
        <x:v>0.5823529411764705</x:v>
      </x:c>
      <x:c r="AG157" s="45" t="n">
        <x:v>0.6176470588235294</x:v>
      </x:c>
      <x:c r="AH157" s="44" t="n">
        <x:v>0.7352941176470589</x:v>
      </x:c>
      <x:c r="AI157" s="44" t="n">
        <x:v>0.20588235294117646</x:v>
      </x:c>
      <x:c r="AJ157" s="45" t="n">
        <x:v>0.9117647058823529</x:v>
      </x:c>
      <x:c r="AK157" s="45" t="n">
        <x:v>0.4842592592592592</x:v>
      </x:c>
      <x:c r="AL157" s="45" t="n">
        <x:v>0.5614197530864197</x:v>
      </x:c>
      <x:c r="AM157" s="44" t="n">
        <x:v>0.6</x:v>
      </x:c>
    </x:row>
    <x:row r="158" ht="15" hidden="0" customHeight="1">
      <x:c r="A158" s="44" t="str">
        <x:v>139-015</x:v>
      </x:c>
      <x:c r="B158" s="44" t="str">
        <x:v>Jaulian stupa and monastery</x:v>
      </x:c>
      <x:c r="C158" s="44" t="n">
        <x:v>500</x:v>
      </x:c>
      <x:c r="D158" s="44" t="str">
        <x:v>E2019</x:v>
      </x:c>
      <x:c r="E158" s="44" t="n">
        <x:v>2019</x:v>
      </x:c>
      <x:c r="F158" s="44" t="n">
        <x:v>870</x:v>
      </x:c>
      <x:c r="G158" s="45" t="n">
        <x:v>0.4609904885292053</x:v>
      </x:c>
      <x:c r="H158" s="44" t="n">
        <x:v>0.36287254095077515</x:v>
      </x:c>
      <x:c r="I158" s="44" t="n">
        <x:v>0.576602041721344</x:v>
      </x:c>
      <x:c r="J158" s="45" t="n">
        <x:v>-0.07957842946052551</x:v>
      </x:c>
      <x:c r="K158" s="44" t="n">
        <x:v>-0.19103403389453888</x:v>
      </x:c>
      <x:c r="L158" s="44" t="n">
        <x:v>-0.0043497649021446705</x:v>
      </x:c>
      <x:c r="M158" s="45" t="n">
        <x:v>-0.4286290407180786</x:v>
      </x:c>
      <x:c r="N158" s="44" t="n">
        <x:v>-0.47486037015914917</x:v>
      </x:c>
      <x:c r="O158" s="44" t="n">
        <x:v>-0.36304375529289246</x:v>
      </x:c>
      <x:c r="P158" s="45" t="n">
        <x:v>0.0019269975600764155</x:v>
      </x:c>
      <x:c r="Q158" s="44" t="n">
        <x:v>-0.09906946867704391</x:v>
      </x:c>
      <x:c r="R158" s="44" t="n">
        <x:v>0.06900910288095474</x:v>
      </x:c>
      <x:c r="S158" s="44" t="n">
        <x:v>870</x:v>
      </x:c>
      <x:c r="T158" s="44" t="n">
        <x:v>0.04252873563218391</x:v>
      </x:c>
      <x:c r="U158" s="44" t="n">
        <x:v>0</x:v>
      </x:c>
      <x:c r="V158" s="44" t="n">
        <x:v>0.2160919540229885</x:v>
      </x:c>
      <x:c r="W158" s="44" t="n">
        <x:v>0.2735632183908046</x:v>
      </x:c>
      <x:c r="X158" s="44" t="n">
        <x:v>0.46781609195402296</x:v>
      </x:c>
      <x:c r="Y158" s="44" t="n">
        <x:v>0</x:v>
      </x:c>
      <x:c r="Z158" s="44" t="n">
        <x:v>0.3</x:v>
      </x:c>
      <x:c r="AA158" s="45" t="n">
        <x:v>0.7470588235294118</x:v>
      </x:c>
      <x:c r="AB158" s="45" t="n">
        <x:v>0.3</x:v>
      </x:c>
      <x:c r="AC158" s="45" t="n">
        <x:v>0.40588235294117647</x:v>
      </x:c>
      <x:c r="AD158" s="44" t="n">
        <x:v>0.15294117647058825</x:v>
      </x:c>
      <x:c r="AE158" s="44" t="n">
        <x:v>0.3</x:v>
      </x:c>
      <x:c r="AF158" s="45" t="n">
        <x:v>0.5235294117647059</x:v>
      </x:c>
      <x:c r="AG158" s="45" t="n">
        <x:v>0.6176470588235294</x:v>
      </x:c>
      <x:c r="AH158" s="44" t="n">
        <x:v>0.7352941176470589</x:v>
      </x:c>
      <x:c r="AI158" s="44" t="n">
        <x:v>0.20588235294117646</x:v>
      </x:c>
      <x:c r="AJ158" s="45" t="n">
        <x:v>0.9117647058823529</x:v>
      </x:c>
      <x:c r="AK158" s="45" t="n">
        <x:v>0.3138888888888889</x:v>
      </x:c>
      <x:c r="AL158" s="45" t="n">
        <x:v>0.4850217864923747</x:v>
      </x:c>
      <x:c r="AM158" s="44" t="n">
        <x:v>0.5705882352941176</x:v>
      </x:c>
    </x:row>
    <x:row r="159" ht="15" hidden="0" customHeight="1">
      <x:c r="A159" s="44" t="str">
        <x:v>139-015</x:v>
      </x:c>
      <x:c r="B159" s="44" t="str">
        <x:v>Jaulian stupa and monastery</x:v>
      </x:c>
      <x:c r="C159" s="44" t="n">
        <x:v>500</x:v>
      </x:c>
      <x:c r="D159" s="44" t="str">
        <x:v>E2024</x:v>
      </x:c>
      <x:c r="E159" s="44" t="n">
        <x:v>2024</x:v>
      </x:c>
      <x:c r="F159" s="44" t="n">
        <x:v>870</x:v>
      </x:c>
      <x:c r="G159" s="45" t="n">
        <x:v>0.5629627704620361</x:v>
      </x:c>
      <x:c r="H159" s="44" t="n">
        <x:v>0.43760642409324646</x:v>
      </x:c>
      <x:c r="I159" s="44" t="n">
        <x:v>0.6658617854118347</x:v>
      </x:c>
      <x:c r="J159" s="45" t="n">
        <x:v>-0.14137521386146545</x:v>
      </x:c>
      <x:c r="K159" s="44" t="n">
        <x:v>-0.24722300469875336</x:v>
      </x:c>
      <x:c r="L159" s="44" t="n">
        <x:v>-0.047086138278245926</x:v>
      </x:c>
      <x:c r="M159" s="45" t="n">
        <x:v>-0.4412961006164551</x:v>
      </x:c>
      <x:c r="N159" s="44" t="n">
        <x:v>-0.4768350422382355</x:v>
      </x:c>
      <x:c r="O159" s="44" t="n">
        <x:v>-0.38826417922973633</x:v>
      </x:c>
      <x:c r="P159" s="45" t="n">
        <x:v>-0.061943717300891876</x:v>
      </x:c>
      <x:c r="Q159" s="44" t="n">
        <x:v>-0.16487260162830353</x:v>
      </x:c>
      <x:c r="R159" s="44" t="n">
        <x:v>0.027485597878694534</x:v>
      </x:c>
      <x:c r="S159" s="44" t="n">
        <x:v>870</x:v>
      </x:c>
      <x:c r="T159" s="44" t="n">
        <x:v>0.022988505747126436</x:v>
      </x:c>
      <x:c r="U159" s="44" t="n">
        <x:v>0</x:v>
      </x:c>
      <x:c r="V159" s="44" t="n">
        <x:v>0.1632183908045977</x:v>
      </x:c>
      <x:c r="W159" s="44" t="n">
        <x:v>0.5896551724137931</x:v>
      </x:c>
      <x:c r="X159" s="44" t="n">
        <x:v>0.22413793103448276</x:v>
      </x:c>
      <x:c r="Y159" s="44" t="n">
        <x:v>0</x:v>
      </x:c>
      <x:c r="Z159" s="44" t="n">
        <x:v>0.07647058823529412</x:v>
      </x:c>
      <x:c r="AA159" s="45" t="n">
        <x:v>0.9235294117647059</x:v>
      </x:c>
      <x:c r="AB159" s="45" t="n">
        <x:v>0.14705882352941177</x:v>
      </x:c>
      <x:c r="AC159" s="45" t="n">
        <x:v>0.27647058823529413</x:v>
      </x:c>
      <x:c r="AD159" s="44" t="n">
        <x:v>0.15294117647058825</x:v>
      </x:c>
      <x:c r="AE159" s="44" t="n">
        <x:v>0.11176470588235295</x:v>
      </x:c>
      <x:c r="AF159" s="45" t="n">
        <x:v>0.5176470588235295</x:v>
      </x:c>
      <x:c r="AG159" s="45" t="n">
        <x:v>0.6176470588235294</x:v>
      </x:c>
      <x:c r="AH159" s="44" t="n">
        <x:v>0.7352941176470589</x:v>
      </x:c>
      <x:c r="AI159" s="44" t="n">
        <x:v>0.20588235294117646</x:v>
      </x:c>
      <x:c r="AJ159" s="45" t="n">
        <x:v>0.9117647058823529</x:v>
      </x:c>
      <x:c r="AK159" s="45" t="n">
        <x:v>0.5259259259259259</x:v>
      </x:c>
      <x:c r="AL159" s="45" t="n">
        <x:v>0.5537400145243282</x:v>
      </x:c>
      <x:c r="AM159" s="44" t="n">
        <x:v>0.5676470588235294</x:v>
      </x:c>
    </x:row>
    <x:row r="160" ht="15" hidden="0" customHeight="1">
      <x:c r="A160" s="44" t="str">
        <x:v>139-016</x:v>
      </x:c>
      <x:c r="B160" s="44" t="str">
        <x:v>Lalchak mounds</x:v>
      </x:c>
      <x:c r="C160" s="44" t="n">
        <x:v>500</x:v>
      </x:c>
      <x:c r="D160" s="44" t="str">
        <x:v>E2004</x:v>
      </x:c>
      <x:c r="E160" s="44" t="n">
        <x:v>2004</x:v>
      </x:c>
      <x:c r="F160" s="44" t="n">
        <x:v>875</x:v>
      </x:c>
      <x:c r="G160" s="45" t="n">
        <x:v>0.4399475157260895</x:v>
      </x:c>
      <x:c r="H160" s="44" t="n">
        <x:v>0.36772289872169495</x:v>
      </x:c>
      <x:c r="I160" s="44" t="n">
        <x:v>0.5153379440307617</x:v>
      </x:c>
      <x:c r="J160" s="45" t="n">
        <x:v>-0.07344640791416168</x:v>
      </x:c>
      <x:c r="K160" s="44" t="n">
        <x:v>-0.1423497349023819</x:v>
      </x:c>
      <x:c r="L160" s="44" t="n">
        <x:v>-0.003641970921307802</x:v>
      </x:c>
      <x:c r="M160" s="45" t="n">
        <x:v>-0.4250093698501587</x:v>
      </x:c>
      <x:c r="N160" s="44" t="n">
        <x:v>-0.45245444774627686</x:v>
      </x:c>
      <x:c r="O160" s="44" t="n">
        <x:v>-0.4000718593597412</x:v>
      </x:c>
      <x:c r="P160" s="45" t="n">
        <x:v>0.009841981343925</x:v>
      </x:c>
      <x:c r="Q160" s="44" t="n">
        <x:v>-0.05407097935676575</x:v>
      </x:c>
      <x:c r="R160" s="44" t="n">
        <x:v>0.07306347787380219</x:v>
      </x:c>
      <x:c r="S160" s="44" t="n">
        <x:v>875</x:v>
      </x:c>
      <x:c r="T160" s="44" t="n">
        <x:v>0.001142857142857143</x:v>
      </x:c>
      <x:c r="U160" s="44" t="n">
        <x:v>0</x:v>
      </x:c>
      <x:c r="V160" s="44" t="n">
        <x:v>0.6331428571428571</x:v>
      </x:c>
      <x:c r="W160" s="44" t="n">
        <x:v>0.1337142857142857</x:v>
      </x:c>
      <x:c r="X160" s="44" t="n">
        <x:v>0.232</x:v>
      </x:c>
      <x:c r="Y160" s="44" t="n">
        <x:v>0</x:v>
      </x:c>
      <x:c r="Z160" s="44" t="n">
        <x:v>0.3352941176470588</x:v>
      </x:c>
      <x:c r="AA160" s="45" t="n">
        <x:v>0.6882352941176471</x:v>
      </x:c>
      <x:c r="AB160" s="45" t="n">
        <x:v>0.31176470588235294</x:v>
      </x:c>
      <x:c r="AC160" s="45" t="n">
        <x:v>0.052941176470588235</x:v>
      </x:c>
      <x:c r="AD160" s="44" t="n">
        <x:v>0.15294117647058825</x:v>
      </x:c>
      <x:c r="AE160" s="44" t="n">
        <x:v>0.32352941176470584</x:v>
      </x:c>
      <x:c r="AF160" s="45" t="n">
        <x:v>0.5058823529411764</x:v>
      </x:c>
      <x:c r="AG160" s="45" t="n">
        <x:v>0.3333333333333333</x:v>
      </x:c>
      <x:c r="AH160" s="44" t="n">
        <x:v>0.058823529411764705</x:v>
      </x:c>
      <x:c r="AI160" s="44" t="n">
        <x:v>0.9117647058823529</x:v>
      </x:c>
      <x:c r="AJ160" s="45" t="n">
        <x:v>0.029411764705882353</x:v>
      </x:c>
      <x:c r="AK160" s="45" t="n">
        <x:v>0.5166666666666666</x:v>
      </x:c>
      <x:c r="AL160" s="45" t="n">
        <x:v>0.45196078431372544</x:v>
      </x:c>
      <x:c r="AM160" s="44" t="n">
        <x:v>0.41960784313725485</x:v>
      </x:c>
    </x:row>
    <x:row r="161" ht="15" hidden="0" customHeight="1">
      <x:c r="A161" s="44" t="str">
        <x:v>139-016</x:v>
      </x:c>
      <x:c r="B161" s="44" t="str">
        <x:v>Lalchak mounds</x:v>
      </x:c>
      <x:c r="C161" s="44" t="n">
        <x:v>500</x:v>
      </x:c>
      <x:c r="D161" s="44" t="str">
        <x:v>E2009</x:v>
      </x:c>
      <x:c r="E161" s="44" t="n">
        <x:v>2009</x:v>
      </x:c>
      <x:c r="F161" s="44" t="n">
        <x:v>875</x:v>
      </x:c>
      <x:c r="G161" s="45" t="n">
        <x:v>0.4334559440612793</x:v>
      </x:c>
      <x:c r="H161" s="44" t="n">
        <x:v>0.3540562689304352</x:v>
      </x:c>
      <x:c r="I161" s="44" t="n">
        <x:v>0.5161463618278503</x:v>
      </x:c>
      <x:c r="J161" s="45" t="n">
        <x:v>-0.06656859815120697</x:v>
      </x:c>
      <x:c r="K161" s="44" t="n">
        <x:v>-0.13513900339603424</x:v>
      </x:c>
      <x:c r="L161" s="44" t="n">
        <x:v>-0.002358822850510478</x:v>
      </x:c>
      <x:c r="M161" s="45" t="n">
        <x:v>-0.42226654291152954</x:v>
      </x:c>
      <x:c r="N161" s="44" t="n">
        <x:v>-0.4455650746822357</x:v>
      </x:c>
      <x:c r="O161" s="44" t="n">
        <x:v>-0.3958975374698639</x:v>
      </x:c>
      <x:c r="P161" s="45" t="n">
        <x:v>0.012825694866478443</x:v>
      </x:c>
      <x:c r="Q161" s="44" t="n">
        <x:v>-0.05438391491770744</x:v>
      </x:c>
      <x:c r="R161" s="44" t="n">
        <x:v>0.07156794518232346</x:v>
      </x:c>
      <x:c r="S161" s="44" t="n">
        <x:v>875</x:v>
      </x:c>
      <x:c r="T161" s="44" t="n">
        <x:v>0.011428571428571429</x:v>
      </x:c>
      <x:c r="U161" s="44" t="n">
        <x:v>0</x:v>
      </x:c>
      <x:c r="V161" s="44" t="n">
        <x:v>0.7714285714285715</x:v>
      </x:c>
      <x:c r="W161" s="44" t="n">
        <x:v>0.13028571428571428</x:v>
      </x:c>
      <x:c r="X161" s="44" t="n">
        <x:v>0.08685714285714285</x:v>
      </x:c>
      <x:c r="Y161" s="44" t="n">
        <x:v>0</x:v>
      </x:c>
      <x:c r="Z161" s="44" t="n">
        <x:v>0.37058823529411766</x:v>
      </x:c>
      <x:c r="AA161" s="45" t="n">
        <x:v>0.6058823529411764</x:v>
      </x:c>
      <x:c r="AB161" s="45" t="n">
        <x:v>0.3941176470588235</x:v>
      </x:c>
      <x:c r="AC161" s="45" t="n">
        <x:v>0.17058823529411765</x:v>
      </x:c>
      <x:c r="AD161" s="44" t="n">
        <x:v>0.15294117647058825</x:v>
      </x:c>
      <x:c r="AE161" s="44" t="n">
        <x:v>0.38235294117647056</x:v>
      </x:c>
      <x:c r="AF161" s="45" t="n">
        <x:v>0.4941176470588235</x:v>
      </x:c>
      <x:c r="AG161" s="45" t="n">
        <x:v>0.3333333333333333</x:v>
      </x:c>
      <x:c r="AH161" s="44" t="n">
        <x:v>0.058823529411764705</x:v>
      </x:c>
      <x:c r="AI161" s="44" t="n">
        <x:v>0.9117647058823529</x:v>
      </x:c>
      <x:c r="AJ161" s="45" t="n">
        <x:v>0.029411764705882353</x:v>
      </x:c>
      <x:c r="AK161" s="45" t="n">
        <x:v>0.462037037037037</x:v>
      </x:c>
      <x:c r="AL161" s="45" t="n">
        <x:v>0.4298293391430646</x:v>
      </x:c>
      <x:c r="AM161" s="44" t="n">
        <x:v>0.4137254901960784</x:v>
      </x:c>
    </x:row>
    <x:row r="162" ht="15" hidden="0" customHeight="1">
      <x:c r="A162" s="44" t="str">
        <x:v>139-016</x:v>
      </x:c>
      <x:c r="B162" s="44" t="str">
        <x:v>Lalchak mounds</x:v>
      </x:c>
      <x:c r="C162" s="44" t="n">
        <x:v>500</x:v>
      </x:c>
      <x:c r="D162" s="44" t="str">
        <x:v>E2014</x:v>
      </x:c>
      <x:c r="E162" s="44" t="n">
        <x:v>2014</x:v>
      </x:c>
      <x:c r="F162" s="44" t="n">
        <x:v>875</x:v>
      </x:c>
      <x:c r="G162" s="45" t="n">
        <x:v>0.5495789647102356</x:v>
      </x:c>
      <x:c r="H162" s="44" t="n">
        <x:v>0.3882451355457306</x:v>
      </x:c>
      <x:c r="I162" s="44" t="n">
        <x:v>0.7065092325210571</x:v>
      </x:c>
      <x:c r="J162" s="45" t="n">
        <x:v>-0.15050260722637177</x:v>
      </x:c>
      <x:c r="K162" s="44" t="n">
        <x:v>-0.30183565616607666</x:v>
      </x:c>
      <x:c r="L162" s="44" t="n">
        <x:v>-0.013459648005664349</x:v>
      </x:c>
      <x:c r="M162" s="45" t="n">
        <x:v>-0.4298003017902374</x:v>
      </x:c>
      <x:c r="N162" s="44" t="n">
        <x:v>-0.45223310589790344</x:v>
      </x:c>
      <x:c r="O162" s="44" t="n">
        <x:v>-0.40501561760902405</x:v>
      </x:c>
      <x:c r="P162" s="45" t="n">
        <x:v>-0.0652753934264183</x:v>
      </x:c>
      <x:c r="Q162" s="44" t="n">
        <x:v>-0.22152085602283478</x:v>
      </x:c>
      <x:c r="R162" s="44" t="n">
        <x:v>0.060236744582653046</x:v>
      </x:c>
      <x:c r="S162" s="44" t="n">
        <x:v>875</x:v>
      </x:c>
      <x:c r="T162" s="44" t="n">
        <x:v>0.022857142857142857</x:v>
      </x:c>
      <x:c r="U162" s="44" t="n">
        <x:v>0.010285714285714285</x:v>
      </x:c>
      <x:c r="V162" s="44" t="n">
        <x:v>0.272</x:v>
      </x:c>
      <x:c r="W162" s="44" t="n">
        <x:v>0.5977142857142858</x:v>
      </x:c>
      <x:c r="X162" s="44" t="n">
        <x:v>0.09714285714285714</x:v>
      </x:c>
      <x:c r="Y162" s="44" t="n">
        <x:v>0</x:v>
      </x:c>
      <x:c r="Z162" s="44" t="n">
        <x:v>0.1</x:v>
      </x:c>
      <x:c r="AA162" s="45" t="n">
        <x:v>0.7941176470588235</x:v>
      </x:c>
      <x:c r="AB162" s="45" t="n">
        <x:v>0.1</x:v>
      </x:c>
      <x:c r="AC162" s="45" t="n">
        <x:v>0.2647058823529412</x:v>
      </x:c>
      <x:c r="AD162" s="44" t="n">
        <x:v>0.48823529411764705</x:v>
      </x:c>
      <x:c r="AE162" s="44" t="n">
        <x:v>0.1</x:v>
      </x:c>
      <x:c r="AF162" s="45" t="n">
        <x:v>0.44705882352941173</x:v>
      </x:c>
      <x:c r="AG162" s="45" t="n">
        <x:v>0.3333333333333333</x:v>
      </x:c>
      <x:c r="AH162" s="44" t="n">
        <x:v>0.058823529411764705</x:v>
      </x:c>
      <x:c r="AI162" s="44" t="n">
        <x:v>0.9117647058823529</x:v>
      </x:c>
      <x:c r="AJ162" s="45" t="n">
        <x:v>0.029411764705882353</x:v>
      </x:c>
      <x:c r="AK162" s="45" t="n">
        <x:v>0.4842592592592592</x:v>
      </x:c>
      <x:c r="AL162" s="45" t="n">
        <x:v>0.42155047204066803</x:v>
      </x:c>
      <x:c r="AM162" s="44" t="n">
        <x:v>0.3901960784313725</x:v>
      </x:c>
    </x:row>
    <x:row r="163" ht="15" hidden="0" customHeight="1">
      <x:c r="A163" s="44" t="str">
        <x:v>139-016</x:v>
      </x:c>
      <x:c r="B163" s="44" t="str">
        <x:v>Lalchak mounds</x:v>
      </x:c>
      <x:c r="C163" s="44" t="n">
        <x:v>500</x:v>
      </x:c>
      <x:c r="D163" s="44" t="str">
        <x:v>E2019</x:v>
      </x:c>
      <x:c r="E163" s="44" t="n">
        <x:v>2019</x:v>
      </x:c>
      <x:c r="F163" s="44" t="n">
        <x:v>875</x:v>
      </x:c>
      <x:c r="G163" s="45" t="n">
        <x:v>0.5014322400093079</x:v>
      </x:c>
      <x:c r="H163" s="44" t="n">
        <x:v>0.4020949900150299</x:v>
      </x:c>
      <x:c r="I163" s="44" t="n">
        <x:v>0.6131389737129211</x:v>
      </x:c>
      <x:c r="J163" s="45" t="n">
        <x:v>-0.13481324911117554</x:v>
      </x:c>
      <x:c r="K163" s="44" t="n">
        <x:v>-0.23517528176307678</x:v>
      </x:c>
      <x:c r="L163" s="44" t="n">
        <x:v>-0.0417485237121582</x:v>
      </x:c>
      <x:c r="M163" s="45" t="n">
        <x:v>-0.4131357669830322</x:v>
      </x:c>
      <x:c r="N163" s="44" t="n">
        <x:v>-0.43531668186187744</x:v>
      </x:c>
      <x:c r="O163" s="44" t="n">
        <x:v>-0.383612722158432</x:v>
      </x:c>
      <x:c r="P163" s="45" t="n">
        <x:v>-0.042754922062158585</x:v>
      </x:c>
      <x:c r="Q163" s="44" t="n">
        <x:v>-0.13873600959777832</x:v>
      </x:c>
      <x:c r="R163" s="44" t="n">
        <x:v>0.033485397696495056</x:v>
      </x:c>
      <x:c r="S163" s="44" t="n">
        <x:v>875</x:v>
      </x:c>
      <x:c r="T163" s="44" t="n">
        <x:v>0.04114285714285714</x:v>
      </x:c>
      <x:c r="U163" s="44" t="n">
        <x:v>0</x:v>
      </x:c>
      <x:c r="V163" s="44" t="n">
        <x:v>0.5222857142857142</x:v>
      </x:c>
      <x:c r="W163" s="44" t="n">
        <x:v>0.40114285714285713</x:v>
      </x:c>
      <x:c r="X163" s="44" t="n">
        <x:v>0.03542857142857143</x:v>
      </x:c>
      <x:c r="Y163" s="44" t="n">
        <x:v>0</x:v>
      </x:c>
      <x:c r="Z163" s="44" t="n">
        <x:v>0.21764705882352942</x:v>
      </x:c>
      <x:c r="AA163" s="45" t="n">
        <x:v>0.31176470588235294</x:v>
      </x:c>
      <x:c r="AB163" s="45" t="n">
        <x:v>0.17058823529411765</x:v>
      </x:c>
      <x:c r="AC163" s="45" t="n">
        <x:v>0.3941176470588235</x:v>
      </x:c>
      <x:c r="AD163" s="44" t="n">
        <x:v>0.15294117647058825</x:v>
      </x:c>
      <x:c r="AE163" s="44" t="n">
        <x:v>0.19411764705882353</x:v>
      </x:c>
      <x:c r="AF163" s="45" t="n">
        <x:v>0.2529411764705882</x:v>
      </x:c>
      <x:c r="AG163" s="45" t="n">
        <x:v>0.3333333333333333</x:v>
      </x:c>
      <x:c r="AH163" s="44" t="n">
        <x:v>0.058823529411764705</x:v>
      </x:c>
      <x:c r="AI163" s="44" t="n">
        <x:v>0.9117647058823529</x:v>
      </x:c>
      <x:c r="AJ163" s="45" t="n">
        <x:v>0.029411764705882353</x:v>
      </x:c>
      <x:c r="AK163" s="45" t="n">
        <x:v>0.3138888888888889</x:v>
      </x:c>
      <x:c r="AL163" s="45" t="n">
        <x:v>0.3000544662309368</x:v>
      </x:c>
      <x:c r="AM163" s="44" t="n">
        <x:v>0.29313725490196074</x:v>
      </x:c>
    </x:row>
    <x:row r="164" ht="15" hidden="0" customHeight="1">
      <x:c r="A164" s="44" t="str">
        <x:v>139-016</x:v>
      </x:c>
      <x:c r="B164" s="44" t="str">
        <x:v>Lalchak mounds</x:v>
      </x:c>
      <x:c r="C164" s="44" t="n">
        <x:v>500</x:v>
      </x:c>
      <x:c r="D164" s="44" t="str">
        <x:v>E2024</x:v>
      </x:c>
      <x:c r="E164" s="44" t="n">
        <x:v>2024</x:v>
      </x:c>
      <x:c r="F164" s="44" t="n">
        <x:v>875</x:v>
      </x:c>
      <x:c r="G164" s="45" t="n">
        <x:v>0.5167385935783386</x:v>
      </x:c>
      <x:c r="H164" s="44" t="n">
        <x:v>0.4136163890361786</x:v>
      </x:c>
      <x:c r="I164" s="44" t="n">
        <x:v>0.6017759442329407</x:v>
      </x:c>
      <x:c r="J164" s="45" t="n">
        <x:v>-0.11021753400564194</x:v>
      </x:c>
      <x:c r="K164" s="44" t="n">
        <x:v>-0.18714620172977448</x:v>
      </x:c>
      <x:c r="L164" s="44" t="n">
        <x:v>-0.039000436663627625</x:v>
      </x:c>
      <x:c r="M164" s="45" t="n">
        <x:v>-0.4408414959907532</x:v>
      </x:c>
      <x:c r="N164" s="44" t="n">
        <x:v>-0.4664262533187866</x:v>
      </x:c>
      <x:c r="O164" s="44" t="n">
        <x:v>-0.40988636016845703</x:v>
      </x:c>
      <x:c r="P164" s="45" t="n">
        <x:v>-0.030949344858527184</x:v>
      </x:c>
      <x:c r="Q164" s="44" t="n">
        <x:v>-0.1029648706316948</x:v>
      </x:c>
      <x:c r="R164" s="44" t="n">
        <x:v>0.03601127117872238</x:v>
      </x:c>
      <x:c r="S164" s="44" t="n">
        <x:v>875</x:v>
      </x:c>
      <x:c r="T164" s="44" t="n">
        <x:v>0.014857142857142857</x:v>
      </x:c>
      <x:c r="U164" s="44" t="n">
        <x:v>0</x:v>
      </x:c>
      <x:c r="V164" s="44" t="n">
        <x:v>0.40685714285714286</x:v>
      </x:c>
      <x:c r="W164" s="44" t="n">
        <x:v>0.3702857142857143</x:v>
      </x:c>
      <x:c r="X164" s="44" t="n">
        <x:v>0.208</x:v>
      </x:c>
      <x:c r="Y164" s="44" t="n">
        <x:v>0</x:v>
      </x:c>
      <x:c r="Z164" s="44" t="n">
        <x:v>0.17058823529411765</x:v>
      </x:c>
      <x:c r="AA164" s="45" t="n">
        <x:v>0.9117647058823529</x:v>
      </x:c>
      <x:c r="AB164" s="45" t="n">
        <x:v>0.2411764705882353</x:v>
      </x:c>
      <x:c r="AC164" s="45" t="n">
        <x:v>0.20588235294117646</x:v>
      </x:c>
      <x:c r="AD164" s="44" t="n">
        <x:v>0.15294117647058825</x:v>
      </x:c>
      <x:c r="AE164" s="44" t="n">
        <x:v>0.20588235294117646</x:v>
      </x:c>
      <x:c r="AF164" s="45" t="n">
        <x:v>0.5588235294117647</x:v>
      </x:c>
      <x:c r="AG164" s="45" t="n">
        <x:v>0.3333333333333333</x:v>
      </x:c>
      <x:c r="AH164" s="44" t="n">
        <x:v>0.058823529411764705</x:v>
      </x:c>
      <x:c r="AI164" s="44" t="n">
        <x:v>0.9117647058823529</x:v>
      </x:c>
      <x:c r="AJ164" s="45" t="n">
        <x:v>0.029411764705882353</x:v>
      </x:c>
      <x:c r="AK164" s="45" t="n">
        <x:v>0.5259259259259259</x:v>
      </x:c>
      <x:c r="AL164" s="45" t="n">
        <x:v>0.4726942628903413</x:v>
      </x:c>
      <x:c r="AM164" s="44" t="n">
        <x:v>0.446078431372549</x:v>
      </x:c>
    </x:row>
    <x:row r="165" ht="15" hidden="0" customHeight="1">
      <x:c r="A165" s="44" t="str">
        <x:v>139-017</x:v>
      </x:c>
      <x:c r="B165" s="44" t="str">
        <x:v>Buddhist remains around Bhallar stupa</x:v>
      </x:c>
      <x:c r="C165" s="44" t="n">
        <x:v>500</x:v>
      </x:c>
      <x:c r="D165" s="44" t="str">
        <x:v>E2004</x:v>
      </x:c>
      <x:c r="E165" s="44" t="n">
        <x:v>2004</x:v>
      </x:c>
      <x:c r="F165" s="44" t="n">
        <x:v>870</x:v>
      </x:c>
      <x:c r="G165" s="45" t="n">
        <x:v>0.37039893865585327</x:v>
      </x:c>
      <x:c r="H165" s="44" t="n">
        <x:v>0.2811819911003113</x:v>
      </x:c>
      <x:c r="I165" s="44" t="n">
        <x:v>0.45991620421409607</x:v>
      </x:c>
      <x:c r="J165" s="45" t="n">
        <x:v>-0.022493459284305573</x:v>
      </x:c>
      <x:c r="K165" s="44" t="n">
        <x:v>-0.12340476363897324</x:v>
      </x:c>
      <x:c r="L165" s="44" t="n">
        <x:v>0.051402151584625244</x:v>
      </x:c>
      <x:c r="M165" s="45" t="n">
        <x:v>-0.41233164072036743</x:v>
      </x:c>
      <x:c r="N165" s="44" t="n">
        <x:v>-0.44309014081954956</x:v>
      </x:c>
      <x:c r="O165" s="44" t="n">
        <x:v>-0.366906076669693</x:v>
      </x:c>
      <x:c r="P165" s="45" t="n">
        <x:v>0.052695974707603455</x:v>
      </x:c>
      <x:c r="Q165" s="44" t="n">
        <x:v>-0.03942844644188881</x:v>
      </x:c>
      <x:c r="R165" s="44" t="n">
        <x:v>0.12522026896476746</x:v>
      </x:c>
      <x:c r="S165" s="44" t="n">
        <x:v>870</x:v>
      </x:c>
      <x:c r="T165" s="44" t="n">
        <x:v>0.10229885057471265</x:v>
      </x:c>
      <x:c r="U165" s="44" t="n">
        <x:v>0.020689655172413793</x:v>
      </x:c>
      <x:c r="V165" s="44" t="n">
        <x:v>0.7045977011494253</x:v>
      </x:c>
      <x:c r="W165" s="44" t="n">
        <x:v>0.07586206896551724</x:v>
      </x:c>
      <x:c r="X165" s="44" t="n">
        <x:v>0.09655172413793103</x:v>
      </x:c>
      <x:c r="Y165" s="44" t="n">
        <x:v>0</x:v>
      </x:c>
      <x:c r="Z165" s="44" t="n">
        <x:v>0.6882352941176471</x:v>
      </x:c>
      <x:c r="AA165" s="45" t="n">
        <x:v>0.27647058823529413</x:v>
      </x:c>
      <x:c r="AB165" s="45" t="n">
        <x:v>0.6411764705882353</x:v>
      </x:c>
      <x:c r="AC165" s="45" t="n">
        <x:v>0.6411764705882353</x:v>
      </x:c>
      <x:c r="AD165" s="44" t="n">
        <x:v>0.7235294117647059</x:v>
      </x:c>
      <x:c r="AE165" s="44" t="n">
        <x:v>0.6647058823529413</x:v>
      </x:c>
      <x:c r="AF165" s="45" t="n">
        <x:v>0.4705882352941177</x:v>
      </x:c>
      <x:c r="AG165" s="45" t="n">
        <x:v>0.6960784313725489</x:v>
      </x:c>
      <x:c r="AH165" s="44" t="n">
        <x:v>0.5</x:v>
      </x:c>
      <x:c r="AI165" s="44" t="n">
        <x:v>0.9117647058823529</x:v>
      </x:c>
      <x:c r="AJ165" s="45" t="n">
        <x:v>0.6764705882352942</x:v>
      </x:c>
      <x:c r="AK165" s="45" t="n">
        <x:v>0.5166666666666666</x:v>
      </x:c>
      <x:c r="AL165" s="45" t="n">
        <x:v>0.561111111111111</x:v>
      </x:c>
      <x:c r="AM165" s="44" t="n">
        <x:v>0.5833333333333333</x:v>
      </x:c>
    </x:row>
    <x:row r="166" ht="15" hidden="0" customHeight="1">
      <x:c r="A166" s="44" t="str">
        <x:v>139-017</x:v>
      </x:c>
      <x:c r="B166" s="44" t="str">
        <x:v>Buddhist remains around Bhallar stupa</x:v>
      </x:c>
      <x:c r="C166" s="44" t="n">
        <x:v>500</x:v>
      </x:c>
      <x:c r="D166" s="44" t="str">
        <x:v>E2009</x:v>
      </x:c>
      <x:c r="E166" s="44" t="n">
        <x:v>2009</x:v>
      </x:c>
      <x:c r="F166" s="44" t="n">
        <x:v>870</x:v>
      </x:c>
      <x:c r="G166" s="45" t="n">
        <x:v>0.3470039367675781</x:v>
      </x:c>
      <x:c r="H166" s="44" t="n">
        <x:v>0.25732454657554626</x:v>
      </x:c>
      <x:c r="I166" s="44" t="n">
        <x:v>0.44101446866989136</x:v>
      </x:c>
      <x:c r="J166" s="45" t="n">
        <x:v>-0.010201612487435341</x:v>
      </x:c>
      <x:c r="K166" s="44" t="n">
        <x:v>-0.10986357927322388</x:v>
      </x:c>
      <x:c r="L166" s="44" t="n">
        <x:v>0.058626554906368256</x:v>
      </x:c>
      <x:c r="M166" s="45" t="n">
        <x:v>-0.4065537750720978</x:v>
      </x:c>
      <x:c r="N166" s="44" t="n">
        <x:v>-0.43911612033843994</x:v>
      </x:c>
      <x:c r="O166" s="44" t="n">
        <x:v>-0.3487268090248108</x:v>
      </x:c>
      <x:c r="P166" s="45" t="n">
        <x:v>0.06335976719856262</x:v>
      </x:c>
      <x:c r="Q166" s="44" t="n">
        <x:v>-0.03113921917974949</x:v>
      </x:c>
      <x:c r="R166" s="44" t="n">
        <x:v>0.12715335190296173</x:v>
      </x:c>
      <x:c r="S166" s="44" t="n">
        <x:v>870</x:v>
      </x:c>
      <x:c r="T166" s="44" t="n">
        <x:v>0.20919540229885059</x:v>
      </x:c>
      <x:c r="U166" s="44" t="n">
        <x:v>0.026436781609195402</x:v>
      </x:c>
      <x:c r="V166" s="44" t="n">
        <x:v>0.6333333333333333</x:v>
      </x:c>
      <x:c r="W166" s="44" t="n">
        <x:v>0.04367816091954023</x:v>
      </x:c>
      <x:c r="X166" s="44" t="n">
        <x:v>0.08735632183908046</x:v>
      </x:c>
      <x:c r="Y166" s="44" t="n">
        <x:v>0</x:v>
      </x:c>
      <x:c r="Z166" s="44" t="n">
        <x:v>0.8529411764705882</x:v>
      </x:c>
      <x:c r="AA166" s="45" t="n">
        <x:v>0.17058823529411765</x:v>
      </x:c>
      <x:c r="AB166" s="45" t="n">
        <x:v>0.7823529411764706</x:v>
      </x:c>
      <x:c r="AC166" s="45" t="n">
        <x:v>0.8529411764705882</x:v>
      </x:c>
      <x:c r="AD166" s="44" t="n">
        <x:v>0.7588235294117647</x:v>
      </x:c>
      <x:c r="AE166" s="44" t="n">
        <x:v>0.8176470588235294</x:v>
      </x:c>
      <x:c r="AF166" s="45" t="n">
        <x:v>0.49411764705882355</x:v>
      </x:c>
      <x:c r="AG166" s="45" t="n">
        <x:v>0.6960784313725489</x:v>
      </x:c>
      <x:c r="AH166" s="44" t="n">
        <x:v>0.5</x:v>
      </x:c>
      <x:c r="AI166" s="44" t="n">
        <x:v>0.9117647058823529</x:v>
      </x:c>
      <x:c r="AJ166" s="45" t="n">
        <x:v>0.6764705882352942</x:v>
      </x:c>
      <x:c r="AK166" s="45" t="n">
        <x:v>0.462037037037037</x:v>
      </x:c>
      <x:c r="AL166" s="45" t="n">
        <x:v>0.5507443718228031</x:v>
      </x:c>
      <x:c r="AM166" s="44" t="n">
        <x:v>0.5950980392156862</x:v>
      </x:c>
    </x:row>
    <x:row r="167" ht="15" hidden="0" customHeight="1">
      <x:c r="A167" s="44" t="str">
        <x:v>139-017</x:v>
      </x:c>
      <x:c r="B167" s="44" t="str">
        <x:v>Buddhist remains around Bhallar stupa</x:v>
      </x:c>
      <x:c r="C167" s="44" t="n">
        <x:v>500</x:v>
      </x:c>
      <x:c r="D167" s="44" t="str">
        <x:v>E2014</x:v>
      </x:c>
      <x:c r="E167" s="44" t="n">
        <x:v>2014</x:v>
      </x:c>
      <x:c r="F167" s="44" t="n">
        <x:v>837</x:v>
      </x:c>
      <x:c r="G167" s="45" t="n">
        <x:v>0.3640596866607666</x:v>
      </x:c>
      <x:c r="H167" s="44" t="n">
        <x:v>0.24578852951526642</x:v>
      </x:c>
      <x:c r="I167" s="44" t="n">
        <x:v>0.5368736982345581</x:v>
      </x:c>
      <x:c r="J167" s="45" t="n">
        <x:v>-0.02062666416168213</x:v>
      </x:c>
      <x:c r="K167" s="44" t="n">
        <x:v>-0.15348398685455322</x:v>
      </x:c>
      <x:c r="L167" s="44" t="n">
        <x:v>0.052894383668899536</x:v>
      </x:c>
      <x:c r="M167" s="45" t="n">
        <x:v>-0.3986468017101288</x:v>
      </x:c>
      <x:c r="N167" s="44" t="n">
        <x:v>-0.44939154386520386</x:v>
      </x:c>
      <x:c r="O167" s="44" t="n">
        <x:v>-0.3528027832508087</x:v>
      </x:c>
      <x:c r="P167" s="45" t="n">
        <x:v>0.05762459710240364</x:v>
      </x:c>
      <x:c r="Q167" s="44" t="n">
        <x:v>-0.06294991075992584</x:v>
      </x:c>
      <x:c r="R167" s="44" t="n">
        <x:v>0.12199144065380096</x:v>
      </x:c>
      <x:c r="S167" s="44" t="n">
        <x:v>837</x:v>
      </x:c>
      <x:c r="T167" s="44" t="n">
        <x:v>0.22102747909199522</x:v>
      </x:c>
      <x:c r="U167" s="44" t="n">
        <x:v>0.017921146953405017</x:v>
      </x:c>
      <x:c r="V167" s="44" t="n">
        <x:v>0.4635603345280765</x:v>
      </x:c>
      <x:c r="W167" s="44" t="n">
        <x:v>0.12664277180406214</x:v>
      </x:c>
      <x:c r="X167" s="44" t="n">
        <x:v>0.17084826762246116</x:v>
      </x:c>
      <x:c r="Y167" s="44" t="n">
        <x:v>0</x:v>
      </x:c>
      <x:c r="Z167" s="44" t="n">
        <x:v>0.7470588235294118</x:v>
      </x:c>
      <x:c r="AA167" s="45" t="n">
        <x:v>0.11176470588235295</x:v>
      </x:c>
      <x:c r="AB167" s="45" t="n">
        <x:v>0.6647058823529411</x:v>
      </x:c>
      <x:c r="AC167" s="45" t="n">
        <x:v>0.8764705882352941</x:v>
      </x:c>
      <x:c r="AD167" s="44" t="n">
        <x:v>0.6764705882352942</x:v>
      </x:c>
      <x:c r="AE167" s="44" t="n">
        <x:v>0.7058823529411764</x:v>
      </x:c>
      <x:c r="AF167" s="45" t="n">
        <x:v>0.4088235294117647</x:v>
      </x:c>
      <x:c r="AG167" s="45" t="n">
        <x:v>0.6960784313725489</x:v>
      </x:c>
      <x:c r="AH167" s="44" t="n">
        <x:v>0.5</x:v>
      </x:c>
      <x:c r="AI167" s="44" t="n">
        <x:v>0.9117647058823529</x:v>
      </x:c>
      <x:c r="AJ167" s="45" t="n">
        <x:v>0.6764705882352942</x:v>
      </x:c>
      <x:c r="AK167" s="45" t="n">
        <x:v>0.4842592592592592</x:v>
      </x:c>
      <x:c r="AL167" s="45" t="n">
        <x:v>0.5297204066811909</x:v>
      </x:c>
      <x:c r="AM167" s="44" t="n">
        <x:v>0.5524509803921568</x:v>
      </x:c>
    </x:row>
    <x:row r="168" ht="15" hidden="0" customHeight="1">
      <x:c r="A168" s="44" t="str">
        <x:v>139-017</x:v>
      </x:c>
      <x:c r="B168" s="44" t="str">
        <x:v>Buddhist remains around Bhallar stupa</x:v>
      </x:c>
      <x:c r="C168" s="44" t="n">
        <x:v>500</x:v>
      </x:c>
      <x:c r="D168" s="44" t="str">
        <x:v>E2019</x:v>
      </x:c>
      <x:c r="E168" s="44" t="n">
        <x:v>2019</x:v>
      </x:c>
      <x:c r="F168" s="44" t="n">
        <x:v>835</x:v>
      </x:c>
      <x:c r="G168" s="45" t="n">
        <x:v>0.38137298822402954</x:v>
      </x:c>
      <x:c r="H168" s="44" t="n">
        <x:v>0.27795445919036865</x:v>
      </x:c>
      <x:c r="I168" s="44" t="n">
        <x:v>0.525521457195282</x:v>
      </x:c>
      <x:c r="J168" s="45" t="n">
        <x:v>-0.04002523422241211</x:v>
      </x:c>
      <x:c r="K168" s="44" t="n">
        <x:v>-0.15699319541454315</x:v>
      </x:c>
      <x:c r="L168" s="44" t="n">
        <x:v>0.0318613238632679</x:v>
      </x:c>
      <x:c r="M168" s="45" t="n">
        <x:v>-0.3910723328590393</x:v>
      </x:c>
      <x:c r="N168" s="44" t="n">
        <x:v>-0.4397725462913513</x:v>
      </x:c>
      <x:c r="O168" s="44" t="n">
        <x:v>-0.3323366045951843</x:v>
      </x:c>
      <x:c r="P168" s="45" t="n">
        <x:v>0.042408253997564316</x:v>
      </x:c>
      <x:c r="Q168" s="44" t="n">
        <x:v>-0.06734251230955124</x:v>
      </x:c>
      <x:c r="R168" s="44" t="n">
        <x:v>0.10308882594108582</x:v>
      </x:c>
      <x:c r="S168" s="44" t="n">
        <x:v>835</x:v>
      </x:c>
      <x:c r="T168" s="44" t="n">
        <x:v>0.25389221556886227</x:v>
      </x:c>
      <x:c r="U168" s="44" t="n">
        <x:v>0.013173652694610778</x:v>
      </x:c>
      <x:c r="V168" s="44" t="n">
        <x:v>0.43832335329341315</x:v>
      </x:c>
      <x:c r="W168" s="44" t="n">
        <x:v>0.11017964071856287</x:v>
      </x:c>
      <x:c r="X168" s="44" t="n">
        <x:v>0.1844311377245509</x:v>
      </x:c>
      <x:c r="Y168" s="44" t="n">
        <x:v>0</x:v>
      </x:c>
      <x:c r="Z168" s="44" t="n">
        <x:v>0.5705882352941176</x:v>
      </x:c>
      <x:c r="AA168" s="45" t="n">
        <x:v>0.029411764705882353</x:v>
      </x:c>
      <x:c r="AB168" s="45" t="n">
        <x:v>0.45294117647058824</x:v>
      </x:c>
      <x:c r="AC168" s="45" t="n">
        <x:v>0.888235294117647</x:v>
      </x:c>
      <x:c r="AD168" s="44" t="n">
        <x:v>0.5941176470588235</x:v>
      </x:c>
      <x:c r="AE168" s="44" t="n">
        <x:v>0.5117647058823529</x:v>
      </x:c>
      <x:c r="AF168" s="45" t="n">
        <x:v>0.27058823529411763</x:v>
      </x:c>
      <x:c r="AG168" s="45" t="n">
        <x:v>0.6960784313725489</x:v>
      </x:c>
      <x:c r="AH168" s="44" t="n">
        <x:v>0.5</x:v>
      </x:c>
      <x:c r="AI168" s="44" t="n">
        <x:v>0.9117647058823529</x:v>
      </x:c>
      <x:c r="AJ168" s="45" t="n">
        <x:v>0.6764705882352942</x:v>
      </x:c>
      <x:c r="AK168" s="45" t="n">
        <x:v>0.3138888888888889</x:v>
      </x:c>
      <x:c r="AL168" s="45" t="n">
        <x:v>0.4268518518518518</x:v>
      </x:c>
      <x:c r="AM168" s="44" t="n">
        <x:v>0.4833333333333333</x:v>
      </x:c>
    </x:row>
    <x:row r="169" ht="15" hidden="0" customHeight="1">
      <x:c r="A169" s="44" t="str">
        <x:v>139-017</x:v>
      </x:c>
      <x:c r="B169" s="44" t="str">
        <x:v>Buddhist remains around Bhallar stupa</x:v>
      </x:c>
      <x:c r="C169" s="44" t="n">
        <x:v>500</x:v>
      </x:c>
      <x:c r="D169" s="44" t="str">
        <x:v>E2024</x:v>
      </x:c>
      <x:c r="E169" s="44" t="n">
        <x:v>2024</x:v>
      </x:c>
      <x:c r="F169" s="44" t="n">
        <x:v>870</x:v>
      </x:c>
      <x:c r="G169" s="45" t="n">
        <x:v>0.3937521278858185</x:v>
      </x:c>
      <x:c r="H169" s="44" t="n">
        <x:v>0.23743054270744324</x:v>
      </x:c>
      <x:c r="I169" s="44" t="n">
        <x:v>0.5610611438751221</x:v>
      </x:c>
      <x:c r="J169" s="45" t="n">
        <x:v>-0.029964428395032883</x:v>
      </x:c>
      <x:c r="K169" s="44" t="n">
        <x:v>-0.1667652279138565</x:v>
      </x:c>
      <x:c r="L169" s="44" t="n">
        <x:v>0.0580114908516407</x:v>
      </x:c>
      <x:c r="M169" s="45" t="n">
        <x:v>-0.40410417318344116</x:v>
      </x:c>
      <x:c r="N169" s="44" t="n">
        <x:v>-0.4514583349227905</x:v>
      </x:c>
      <x:c r="O169" s="44" t="n">
        <x:v>-0.3474908471107483</x:v>
      </x:c>
      <x:c r="P169" s="45" t="n">
        <x:v>0.045834511518478394</x:v>
      </x:c>
      <x:c r="Q169" s="44" t="n">
        <x:v>-0.08333610743284225</x:v>
      </x:c>
      <x:c r="R169" s="44" t="n">
        <x:v>0.12442908436059952</x:v>
      </x:c>
      <x:c r="S169" s="44" t="n">
        <x:v>870</x:v>
      </x:c>
      <x:c r="T169" s="44" t="n">
        <x:v>0.20804597701149424</x:v>
      </x:c>
      <x:c r="U169" s="44" t="n">
        <x:v>0.010344827586206896</x:v>
      </x:c>
      <x:c r="V169" s="44" t="n">
        <x:v>0.4586206896551724</x:v>
      </x:c>
      <x:c r="W169" s="44" t="n">
        <x:v>0.167816091954023</x:v>
      </x:c>
      <x:c r="X169" s="44" t="n">
        <x:v>0.15517241379310345</x:v>
      </x:c>
      <x:c r="Y169" s="44" t="n">
        <x:v>0</x:v>
      </x:c>
      <x:c r="Z169" s="44" t="n">
        <x:v>0.5117647058823529</x:v>
      </x:c>
      <x:c r="AA169" s="45" t="n">
        <x:v>0.13529411764705881</x:v>
      </x:c>
      <x:c r="AB169" s="45" t="n">
        <x:v>0.5705882352941176</x:v>
      </x:c>
      <x:c r="AC169" s="45" t="n">
        <x:v>0.8411764705882353</x:v>
      </x:c>
      <x:c r="AD169" s="44" t="n">
        <x:v>0.5235294117647059</x:v>
      </x:c>
      <x:c r="AE169" s="44" t="n">
        <x:v>0.5411764705882353</x:v>
      </x:c>
      <x:c r="AF169" s="45" t="n">
        <x:v>0.338235294117647</x:v>
      </x:c>
      <x:c r="AG169" s="45" t="n">
        <x:v>0.6960784313725489</x:v>
      </x:c>
      <x:c r="AH169" s="44" t="n">
        <x:v>0.5</x:v>
      </x:c>
      <x:c r="AI169" s="44" t="n">
        <x:v>0.9117647058823529</x:v>
      </x:c>
      <x:c r="AJ169" s="45" t="n">
        <x:v>0.6764705882352942</x:v>
      </x:c>
      <x:c r="AK169" s="45" t="n">
        <x:v>0.5259259259259259</x:v>
      </x:c>
      <x:c r="AL169" s="45" t="n">
        <x:v>0.520079883805374</x:v>
      </x:c>
      <x:c r="AM169" s="44" t="n">
        <x:v>0.517156862745098</x:v>
      </x:c>
    </x:row>
    <x:row r="170" ht="15" hidden="0" customHeight="1">
      <x:c r="A170" s="44" t="str">
        <x:v>139-018</x:v>
      </x:c>
      <x:c r="B170" s="44" t="str">
        <x:v>Giri Mosque and tombs</x:v>
      </x:c>
      <x:c r="C170" s="44" t="n">
        <x:v>500</x:v>
      </x:c>
      <x:c r="D170" s="44" t="str">
        <x:v>E2004</x:v>
      </x:c>
      <x:c r="E170" s="44" t="n">
        <x:v>2004</x:v>
      </x:c>
      <x:c r="F170" s="44" t="n">
        <x:v>874</x:v>
      </x:c>
      <x:c r="G170" s="45" t="n">
        <x:v>0.5530498623847961</x:v>
      </x:c>
      <x:c r="H170" s="44" t="n">
        <x:v>0.48789432644844055</x:v>
      </x:c>
      <x:c r="I170" s="44" t="n">
        <x:v>0.6198729276657104</x:v>
      </x:c>
      <x:c r="J170" s="45" t="n">
        <x:v>-0.17137977480888367</x:v>
      </x:c>
      <x:c r="K170" s="44" t="n">
        <x:v>-0.2787364423274994</x:v>
      </x:c>
      <x:c r="L170" s="44" t="n">
        <x:v>-0.0708998292684555</x:v>
      </x:c>
      <x:c r="M170" s="45" t="n">
        <x:v>-0.4185892939567566</x:v>
      </x:c>
      <x:c r="N170" s="44" t="n">
        <x:v>-0.4721424877643585</x:v>
      </x:c>
      <x:c r="O170" s="44" t="n">
        <x:v>-0.3259811997413635</x:v>
      </x:c>
      <x:c r="P170" s="45" t="n">
        <x:v>-0.08890414237976074</x:v>
      </x:c>
      <x:c r="Q170" s="44" t="n">
        <x:v>-0.18242838978767395</x:v>
      </x:c>
      <x:c r="R170" s="44" t="n">
        <x:v>0.0004441860946826637</x:v>
      </x:c>
      <x:c r="S170" s="44" t="n">
        <x:v>874</x:v>
      </x:c>
      <x:c r="T170" s="44" t="n">
        <x:v>0</x:v>
      </x:c>
      <x:c r="U170" s="44" t="n">
        <x:v>0</x:v>
      </x:c>
      <x:c r="V170" s="44" t="n">
        <x:v>0.036613272311212815</x:v>
      </x:c>
      <x:c r="W170" s="44" t="n">
        <x:v>0.7551487414187643</x:v>
      </x:c>
      <x:c r="X170" s="44" t="n">
        <x:v>0.20823798627002288</x:v>
      </x:c>
      <x:c r="Y170" s="44" t="n">
        <x:v>0</x:v>
      </x:c>
      <x:c r="Z170" s="44" t="n">
        <x:v>0.08823529411764706</x:v>
      </x:c>
      <x:c r="AA170" s="45" t="n">
        <x:v>0.5</x:v>
      </x:c>
      <x:c r="AB170" s="45" t="n">
        <x:v>0.06470588235294118</x:v>
      </x:c>
      <x:c r="AC170" s="45" t="n">
        <x:v>0.023529411764705882</x:v>
      </x:c>
      <x:c r="AD170" s="44" t="n">
        <x:v>0.15294117647058825</x:v>
      </x:c>
      <x:c r="AE170" s="44" t="n">
        <x:v>0.07647058823529412</x:v>
      </x:c>
      <x:c r="AF170" s="45" t="n">
        <x:v>0.28823529411764703</x:v>
      </x:c>
      <x:c r="AG170" s="45" t="n">
        <x:v>0.6568627450980392</x:v>
      </x:c>
      <x:c r="AH170" s="44" t="n">
        <x:v>0.9705882352941176</x:v>
      </x:c>
      <x:c r="AI170" s="44" t="n">
        <x:v>0.14705882352941177</x:v>
      </x:c>
      <x:c r="AJ170" s="45" t="n">
        <x:v>0.8529411764705882</x:v>
      </x:c>
      <x:c r="AK170" s="45" t="n">
        <x:v>0.5166666666666666</x:v>
      </x:c>
      <x:c r="AL170" s="45" t="n">
        <x:v>0.4872549019607843</x:v>
      </x:c>
      <x:c r="AM170" s="44" t="n">
        <x:v>0.4725490196078431</x:v>
      </x:c>
    </x:row>
    <x:row r="171" ht="15" hidden="0" customHeight="1">
      <x:c r="A171" s="44" t="str">
        <x:v>139-018</x:v>
      </x:c>
      <x:c r="B171" s="44" t="str">
        <x:v>Giri Mosque and tombs</x:v>
      </x:c>
      <x:c r="C171" s="44" t="n">
        <x:v>500</x:v>
      </x:c>
      <x:c r="D171" s="44" t="str">
        <x:v>E2009</x:v>
      </x:c>
      <x:c r="E171" s="44" t="n">
        <x:v>2009</x:v>
      </x:c>
      <x:c r="F171" s="44" t="n">
        <x:v>874</x:v>
      </x:c>
      <x:c r="G171" s="45" t="n">
        <x:v>0.5253363847732544</x:v>
      </x:c>
      <x:c r="H171" s="44" t="n">
        <x:v>0.43857333064079285</x:v>
      </x:c>
      <x:c r="I171" s="44" t="n">
        <x:v>0.5982346534729004</x:v>
      </x:c>
      <x:c r="J171" s="45" t="n">
        <x:v>-0.14895816147327423</x:v>
      </x:c>
      <x:c r="K171" s="44" t="n">
        <x:v>-0.24157245457172394</x:v>
      </x:c>
      <x:c r="L171" s="44" t="n">
        <x:v>-0.031658828258514404</x:v>
      </x:c>
      <x:c r="M171" s="45" t="n">
        <x:v>-0.4198586344718933</x:v>
      </x:c>
      <x:c r="N171" s="44" t="n">
        <x:v>-0.47155243158340454</x:v>
      </x:c>
      <x:c r="O171" s="44" t="n">
        <x:v>-0.33806684613227844</x:v>
      </x:c>
      <x:c r="P171" s="45" t="n">
        <x:v>-0.07420745491981506</x:v>
      </x:c>
      <x:c r="Q171" s="44" t="n">
        <x:v>-0.15766817331314087</x:v>
      </x:c>
      <x:c r="R171" s="44" t="n">
        <x:v>0.03525788336992264</x:v>
      </x:c>
      <x:c r="S171" s="44" t="n">
        <x:v>874</x:v>
      </x:c>
      <x:c r="T171" s="44" t="n">
        <x:v>0.004576659038901602</x:v>
      </x:c>
      <x:c r="U171" s="44" t="n">
        <x:v>0</x:v>
      </x:c>
      <x:c r="V171" s="44" t="n">
        <x:v>0.08810068649885583</x:v>
      </x:c>
      <x:c r="W171" s="44" t="n">
        <x:v>0.6441647597254004</x:v>
      </x:c>
      <x:c r="X171" s="44" t="n">
        <x:v>0.2631578947368421</x:v>
      </x:c>
      <x:c r="Y171" s="44" t="n">
        <x:v>0</x:v>
      </x:c>
      <x:c r="Z171" s="44" t="n">
        <x:v>0.1588235294117647</x:v>
      </x:c>
      <x:c r="AA171" s="45" t="n">
        <x:v>0.5352941176470588</x:v>
      </x:c>
      <x:c r="AB171" s="45" t="n">
        <x:v>0.12352941176470589</x:v>
      </x:c>
      <x:c r="AC171" s="45" t="n">
        <x:v>0.1</x:v>
      </x:c>
      <x:c r="AD171" s="44" t="n">
        <x:v>0.15294117647058825</x:v>
      </x:c>
      <x:c r="AE171" s="44" t="n">
        <x:v>0.1411764705882353</x:v>
      </x:c>
      <x:c r="AF171" s="45" t="n">
        <x:v>0.3382352941176471</x:v>
      </x:c>
      <x:c r="AG171" s="45" t="n">
        <x:v>0.6568627450980392</x:v>
      </x:c>
      <x:c r="AH171" s="44" t="n">
        <x:v>0.9705882352941176</x:v>
      </x:c>
      <x:c r="AI171" s="44" t="n">
        <x:v>0.14705882352941177</x:v>
      </x:c>
      <x:c r="AJ171" s="45" t="n">
        <x:v>0.8529411764705882</x:v>
      </x:c>
      <x:c r="AK171" s="45" t="n">
        <x:v>0.462037037037037</x:v>
      </x:c>
      <x:c r="AL171" s="45" t="n">
        <x:v>0.4857116920842411</x:v>
      </x:c>
      <x:c r="AM171" s="44" t="n">
        <x:v>0.49754901960784315</x:v>
      </x:c>
    </x:row>
    <x:row r="172" ht="15" hidden="0" customHeight="1">
      <x:c r="A172" s="44" t="str">
        <x:v>139-018</x:v>
      </x:c>
      <x:c r="B172" s="44" t="str">
        <x:v>Giri Mosque and tombs</x:v>
      </x:c>
      <x:c r="C172" s="44" t="n">
        <x:v>500</x:v>
      </x:c>
      <x:c r="D172" s="44" t="str">
        <x:v>E2014</x:v>
      </x:c>
      <x:c r="E172" s="44" t="n">
        <x:v>2014</x:v>
      </x:c>
      <x:c r="F172" s="44" t="n">
        <x:v>874</x:v>
      </x:c>
      <x:c r="G172" s="45" t="n">
        <x:v>0.5801501274108887</x:v>
      </x:c>
      <x:c r="H172" s="44" t="n">
        <x:v>0.4640693664550781</x:v>
      </x:c>
      <x:c r="I172" s="44" t="n">
        <x:v>0.696044385433197</x:v>
      </x:c>
      <x:c r="J172" s="45" t="n">
        <x:v>-0.17327746748924255</x:v>
      </x:c>
      <x:c r="K172" s="44" t="n">
        <x:v>-0.30965787172317505</x:v>
      </x:c>
      <x:c r="L172" s="44" t="n">
        <x:v>-0.04518629238009453</x:v>
      </x:c>
      <x:c r="M172" s="45" t="n">
        <x:v>-0.45288223028182983</x:v>
      </x:c>
      <x:c r="N172" s="44" t="n">
        <x:v>-0.4927625060081482</x:v>
      </x:c>
      <x:c r="O172" s="44" t="n">
        <x:v>-0.3273523151874542</x:v>
      </x:c>
      <x:c r="P172" s="45" t="n">
        <x:v>-0.09443593770265579</x:v>
      </x:c>
      <x:c r="Q172" s="44" t="n">
        <x:v>-0.22045844793319702</x:v>
      </x:c>
      <x:c r="R172" s="44" t="n">
        <x:v>0.02268032170832157</x:v>
      </x:c>
      <x:c r="S172" s="44" t="n">
        <x:v>874</x:v>
      </x:c>
      <x:c r="T172" s="44" t="n">
        <x:v>0</x:v>
      </x:c>
      <x:c r="U172" s="44" t="n">
        <x:v>0</x:v>
      </x:c>
      <x:c r="V172" s="44" t="n">
        <x:v>0.019450800915331808</x:v>
      </x:c>
      <x:c r="W172" s="44" t="n">
        <x:v>0.6967963386727689</x:v>
      </x:c>
      <x:c r="X172" s="44" t="n">
        <x:v>0.2837528604118993</x:v>
      </x:c>
      <x:c r="Y172" s="44" t="n">
        <x:v>0</x:v>
      </x:c>
      <x:c r="Z172" s="44" t="n">
        <x:v>0.041176470588235294</x:v>
      </x:c>
      <x:c r="AA172" s="45" t="n">
        <x:v>0.9588235294117647</x:v>
      </x:c>
      <x:c r="AB172" s="45" t="n">
        <x:v>0.041176470588235294</x:v>
      </x:c>
      <x:c r="AC172" s="45" t="n">
        <x:v>0.023529411764705882</x:v>
      </x:c>
      <x:c r="AD172" s="44" t="n">
        <x:v>0.15294117647058825</x:v>
      </x:c>
      <x:c r="AE172" s="44" t="n">
        <x:v>0.041176470588235294</x:v>
      </x:c>
      <x:c r="AF172" s="45" t="n">
        <x:v>0.5</x:v>
      </x:c>
      <x:c r="AG172" s="45" t="n">
        <x:v>0.6568627450980392</x:v>
      </x:c>
      <x:c r="AH172" s="44" t="n">
        <x:v>0.9705882352941176</x:v>
      </x:c>
      <x:c r="AI172" s="44" t="n">
        <x:v>0.14705882352941177</x:v>
      </x:c>
      <x:c r="AJ172" s="45" t="n">
        <x:v>0.8529411764705882</x:v>
      </x:c>
      <x:c r="AK172" s="45" t="n">
        <x:v>0.4842592592592592</x:v>
      </x:c>
      <x:c r="AL172" s="45" t="n">
        <x:v>0.5470406681190995</x:v>
      </x:c>
      <x:c r="AM172" s="44" t="n">
        <x:v>0.5784313725490196</x:v>
      </x:c>
    </x:row>
    <x:row r="173" ht="15" hidden="0" customHeight="1">
      <x:c r="A173" s="44" t="str">
        <x:v>139-018</x:v>
      </x:c>
      <x:c r="B173" s="44" t="str">
        <x:v>Giri Mosque and tombs</x:v>
      </x:c>
      <x:c r="C173" s="44" t="n">
        <x:v>500</x:v>
      </x:c>
      <x:c r="D173" s="44" t="str">
        <x:v>E2019</x:v>
      </x:c>
      <x:c r="E173" s="44" t="n">
        <x:v>2019</x:v>
      </x:c>
      <x:c r="F173" s="44" t="n">
        <x:v>874</x:v>
      </x:c>
      <x:c r="G173" s="45" t="n">
        <x:v>0.581217348575592</x:v>
      </x:c>
      <x:c r="H173" s="44" t="n">
        <x:v>0.4213804006576538</x:v>
      </x:c>
      <x:c r="I173" s="44" t="n">
        <x:v>0.7057077288627625</x:v>
      </x:c>
      <x:c r="J173" s="45" t="n">
        <x:v>-0.17729371786117554</x:v>
      </x:c>
      <x:c r="K173" s="44" t="n">
        <x:v>-0.32329264283180237</x:v>
      </x:c>
      <x:c r="L173" s="44" t="n">
        <x:v>-0.03911332041025162</x:v>
      </x:c>
      <x:c r="M173" s="45" t="n">
        <x:v>-0.45159319043159485</x:v>
      </x:c>
      <x:c r="N173" s="44" t="n">
        <x:v>-0.4873706102371216</x:v>
      </x:c>
      <x:c r="O173" s="44" t="n">
        <x:v>-0.34525030851364136</x:v>
      </x:c>
      <x:c r="P173" s="45" t="n">
        <x:v>-0.09556534141302109</x:v>
      </x:c>
      <x:c r="Q173" s="44" t="n">
        <x:v>-0.23651379346847534</x:v>
      </x:c>
      <x:c r="R173" s="44" t="n">
        <x:v>0.03419841080904007</x:v>
      </x:c>
      <x:c r="S173" s="44" t="n">
        <x:v>874</x:v>
      </x:c>
      <x:c r="T173" s="44" t="n">
        <x:v>0</x:v>
      </x:c>
      <x:c r="U173" s="44" t="n">
        <x:v>0</x:v>
      </x:c>
      <x:c r="V173" s="44" t="n">
        <x:v>0.041189931350114416</x:v>
      </x:c>
      <x:c r="W173" s="44" t="n">
        <x:v>0.6464530892448512</x:v>
      </x:c>
      <x:c r="X173" s="44" t="n">
        <x:v>0.3123569794050343</x:v>
      </x:c>
      <x:c r="Y173" s="44" t="n">
        <x:v>0</x:v>
      </x:c>
      <x:c r="Z173" s="44" t="n">
        <x:v>0.029411764705882353</x:v>
      </x:c>
      <x:c r="AA173" s="45" t="n">
        <x:v>0.9470588235294117</x:v>
      </x:c>
      <x:c r="AB173" s="45" t="n">
        <x:v>0.029411764705882353</x:v>
      </x:c>
      <x:c r="AC173" s="45" t="n">
        <x:v>0.023529411764705882</x:v>
      </x:c>
      <x:c r="AD173" s="44" t="n">
        <x:v>0.15294117647058825</x:v>
      </x:c>
      <x:c r="AE173" s="44" t="n">
        <x:v>0.029411764705882353</x:v>
      </x:c>
      <x:c r="AF173" s="45" t="n">
        <x:v>0.48823529411764705</x:v>
      </x:c>
      <x:c r="AG173" s="45" t="n">
        <x:v>0.6568627450980392</x:v>
      </x:c>
      <x:c r="AH173" s="44" t="n">
        <x:v>0.9705882352941176</x:v>
      </x:c>
      <x:c r="AI173" s="44" t="n">
        <x:v>0.14705882352941177</x:v>
      </x:c>
      <x:c r="AJ173" s="45" t="n">
        <x:v>0.8529411764705882</x:v>
      </x:c>
      <x:c r="AK173" s="45" t="n">
        <x:v>0.3138888888888889</x:v>
      </x:c>
      <x:c r="AL173" s="45" t="n">
        <x:v>0.48632897603485836</x:v>
      </x:c>
      <x:c r="AM173" s="44" t="n">
        <x:v>0.5725490196078431</x:v>
      </x:c>
    </x:row>
    <x:row r="174" ht="15" hidden="0" customHeight="1">
      <x:c r="A174" s="44" t="str">
        <x:v>139-018</x:v>
      </x:c>
      <x:c r="B174" s="44" t="str">
        <x:v>Giri Mosque and tombs</x:v>
      </x:c>
      <x:c r="C174" s="44" t="n">
        <x:v>500</x:v>
      </x:c>
      <x:c r="D174" s="44" t="str">
        <x:v>E2024</x:v>
      </x:c>
      <x:c r="E174" s="44" t="n">
        <x:v>2024</x:v>
      </x:c>
      <x:c r="F174" s="44" t="n">
        <x:v>874</x:v>
      </x:c>
      <x:c r="G174" s="45" t="n">
        <x:v>0.6498733758926392</x:v>
      </x:c>
      <x:c r="H174" s="44" t="n">
        <x:v>0.5512411594390869</x:v>
      </x:c>
      <x:c r="I174" s="44" t="n">
        <x:v>0.7279499173164368</x:v>
      </x:c>
      <x:c r="J174" s="45" t="n">
        <x:v>-0.21371175348758698</x:v>
      </x:c>
      <x:c r="K174" s="44" t="n">
        <x:v>-0.2979665994644165</x:v>
      </x:c>
      <x:c r="L174" s="44" t="n">
        <x:v>-0.10489105433225632</x:v>
      </x:c>
      <x:c r="M174" s="45" t="n">
        <x:v>-0.4562477469444275</x:v>
      </x:c>
      <x:c r="N174" s="44" t="n">
        <x:v>-0.49049273133277893</x:v>
      </x:c>
      <x:c r="O174" s="44" t="n">
        <x:v>-0.40808460116386414</x:v>
      </x:c>
      <x:c r="P174" s="45" t="n">
        <x:v>-0.13838905096054077</x:v>
      </x:c>
      <x:c r="Q174" s="44" t="n">
        <x:v>-0.2194281667470932</x:v>
      </x:c>
      <x:c r="R174" s="44" t="n">
        <x:v>-0.03182615339756012</x:v>
      </x:c>
      <x:c r="S174" s="44" t="n">
        <x:v>874</x:v>
      </x:c>
      <x:c r="T174" s="44" t="n">
        <x:v>0.0011441647597254005</x:v>
      </x:c>
      <x:c r="U174" s="44" t="n">
        <x:v>0</x:v>
      </x:c>
      <x:c r="V174" s="44" t="n">
        <x:v>0.018306636155606407</x:v>
      </x:c>
      <x:c r="W174" s="44" t="n">
        <x:v>0.8718535469107551</x:v>
      </x:c>
      <x:c r="X174" s="44" t="n">
        <x:v>0.10869565217391304</x:v>
      </x:c>
      <x:c r="Y174" s="44" t="n">
        <x:v>0</x:v>
      </x:c>
      <x:c r="Z174" s="44" t="n">
        <x:v>0.0058823529411764705</x:v>
      </x:c>
      <x:c r="AA174" s="45" t="n">
        <x:v>0.9705882352941176</x:v>
      </x:c>
      <x:c r="AB174" s="45" t="n">
        <x:v>0.0058823529411764705</x:v>
      </x:c>
      <x:c r="AC174" s="45" t="n">
        <x:v>0.07058823529411765</x:v>
      </x:c>
      <x:c r="AD174" s="44" t="n">
        <x:v>0.15294117647058825</x:v>
      </x:c>
      <x:c r="AE174" s="44" t="n">
        <x:v>0.0058823529411764705</x:v>
      </x:c>
      <x:c r="AF174" s="45" t="n">
        <x:v>0.48823529411764705</x:v>
      </x:c>
      <x:c r="AG174" s="45" t="n">
        <x:v>0.6568627450980392</x:v>
      </x:c>
      <x:c r="AH174" s="44" t="n">
        <x:v>0.9705882352941176</x:v>
      </x:c>
      <x:c r="AI174" s="44" t="n">
        <x:v>0.14705882352941177</x:v>
      </x:c>
      <x:c r="AJ174" s="45" t="n">
        <x:v>0.8529411764705882</x:v>
      </x:c>
      <x:c r="AK174" s="45" t="n">
        <x:v>0.5259259259259259</x:v>
      </x:c>
      <x:c r="AL174" s="45" t="n">
        <x:v>0.5570079883805373</x:v>
      </x:c>
      <x:c r="AM174" s="44" t="n">
        <x:v>0.5725490196078431</x:v>
      </x:c>
    </x:row>
    <x:row r="175" ht="15" hidden="0" customHeight="1">
      <x:c r="A175" s="44" t="str">
        <x:v>139-001</x:v>
      </x:c>
      <x:c r="B175" s="44" t="str">
        <x:v>Khanpur Cave</x:v>
      </x:c>
      <x:c r="C175" s="44" t="n">
        <x:v>1000</x:v>
      </x:c>
      <x:c r="D175" s="44" t="str">
        <x:v>E2004</x:v>
      </x:c>
      <x:c r="E175" s="44" t="n">
        <x:v>2004</x:v>
      </x:c>
      <x:c r="F175" s="44" t="n">
        <x:v>3493</x:v>
      </x:c>
      <x:c r="G175" s="45" t="n">
        <x:v>0.33672699332237244</x:v>
      </x:c>
      <x:c r="H175" s="44" t="n">
        <x:v>0.1919597089290619</x:v>
      </x:c>
      <x:c r="I175" s="44" t="n">
        <x:v>0.4632898271083832</x:v>
      </x:c>
      <x:c r="J175" s="45" t="n">
        <x:v>-0.0016212613554671407</x:v>
      </x:c>
      <x:c r="K175" s="44" t="n">
        <x:v>-0.11662557721138</x:v>
      </x:c>
      <x:c r="L175" s="44" t="n">
        <x:v>0.09296878427267075</x:v>
      </x:c>
      <x:c r="M175" s="45" t="n">
        <x:v>-0.4076211154460907</x:v>
      </x:c>
      <x:c r="N175" s="44" t="n">
        <x:v>-0.45234495401382446</x:v>
      </x:c>
      <x:c r="O175" s="44" t="n">
        <x:v>-0.3381998836994171</x:v>
      </x:c>
      <x:c r="P175" s="45" t="n">
        <x:v>0.0746355801820755</x:v>
      </x:c>
      <x:c r="Q175" s="44" t="n">
        <x:v>-0.026455380022525787</x:v>
      </x:c>
      <x:c r="R175" s="44" t="n">
        <x:v>0.15057472884655</x:v>
      </x:c>
      <x:c r="S175" s="44" t="n">
        <x:v>3493</x:v>
      </x:c>
      <x:c r="T175" s="44" t="n">
        <x:v>0.24735184655024334</x:v>
      </x:c>
      <x:c r="U175" s="44" t="n">
        <x:v>0.09705124534783853</x:v>
      </x:c>
      <x:c r="V175" s="44" t="n">
        <x:v>0.43458345261952475</x:v>
      </x:c>
      <x:c r="W175" s="44" t="n">
        <x:v>0.042656742055539654</x:v>
      </x:c>
      <x:c r="X175" s="44" t="n">
        <x:v>0.17835671342685372</x:v>
      </x:c>
      <x:c r="Y175" s="44" t="n">
        <x:v>0</x:v>
      </x:c>
      <x:c r="Z175" s="44" t="n">
        <x:v>0.8764705882352941</x:v>
      </x:c>
      <x:c r="AA175" s="45" t="n">
        <x:v>0.20588235294117646</x:v>
      </x:c>
      <x:c r="AB175" s="45" t="n">
        <x:v>0.7705882352941177</x:v>
      </x:c>
      <x:c r="AC175" s="45" t="n">
        <x:v>0.8647058823529412</x:v>
      </x:c>
      <x:c r="AD175" s="44" t="n">
        <x:v>0.9235294117647059</x:v>
      </x:c>
      <x:c r="AE175" s="44" t="n">
        <x:v>0.8235294117647058</x:v>
      </x:c>
      <x:c r="AF175" s="45" t="n">
        <x:v>0.5147058823529411</x:v>
      </x:c>
      <x:c r="AG175" s="45" t="n">
        <x:v>0.4803921568627451</x:v>
      </x:c>
      <x:c r="AH175" s="44" t="n">
        <x:v>0.38235294117647056</x:v>
      </x:c>
      <x:c r="AI175" s="44" t="n">
        <x:v>0.5588235294117647</x:v>
      </x:c>
      <x:c r="AJ175" s="45" t="n">
        <x:v>0.5</x:v>
      </x:c>
      <x:c r="AK175" s="45" t="n">
        <x:v>0.5166666666666666</x:v>
      </x:c>
      <x:c r="AL175" s="45" t="n">
        <x:v>0.503921568627451</x:v>
      </x:c>
      <x:c r="AM175" s="44" t="n">
        <x:v>0.49754901960784315</x:v>
      </x:c>
    </x:row>
    <x:row r="176" ht="15" hidden="0" customHeight="1">
      <x:c r="A176" s="44" t="str">
        <x:v>139-001</x:v>
      </x:c>
      <x:c r="B176" s="44" t="str">
        <x:v>Khanpur Cave</x:v>
      </x:c>
      <x:c r="C176" s="44" t="n">
        <x:v>1000</x:v>
      </x:c>
      <x:c r="D176" s="44" t="str">
        <x:v>E2009</x:v>
      </x:c>
      <x:c r="E176" s="44" t="n">
        <x:v>2009</x:v>
      </x:c>
      <x:c r="F176" s="44" t="n">
        <x:v>3493</x:v>
      </x:c>
      <x:c r="G176" s="45" t="n">
        <x:v>0.3192817270755768</x:v>
      </x:c>
      <x:c r="H176" s="44" t="n">
        <x:v>0.1725955605506897</x:v>
      </x:c>
      <x:c r="I176" s="44" t="n">
        <x:v>0.4493463337421417</x:v>
      </x:c>
      <x:c r="J176" s="45" t="n">
        <x:v>0.00964518915861845</x:v>
      </x:c>
      <x:c r="K176" s="44" t="n">
        <x:v>-0.10669873654842377</x:v>
      </x:c>
      <x:c r="L176" s="44" t="n">
        <x:v>0.13992567360401154</x:v>
      </x:c>
      <x:c r="M176" s="45" t="n">
        <x:v>-0.4077945947647095</x:v>
      </x:c>
      <x:c r="N176" s="44" t="n">
        <x:v>-0.4532083570957184</x:v>
      </x:c>
      <x:c r="O176" s="44" t="n">
        <x:v>-0.3445477783679962</x:v>
      </x:c>
      <x:c r="P176" s="45" t="n">
        <x:v>0.08140604943037033</x:v>
      </x:c>
      <x:c r="Q176" s="44" t="n">
        <x:v>-0.024065710604190826</x:v>
      </x:c>
      <x:c r="R176" s="44" t="n">
        <x:v>0.1864953190088272</x:v>
      </x:c>
      <x:c r="S176" s="44" t="n">
        <x:v>3493</x:v>
      </x:c>
      <x:c r="T176" s="44" t="n">
        <x:v>0.2668193529916977</x:v>
      </x:c>
      <x:c r="U176" s="44" t="n">
        <x:v>0.15430861723446893</x:v>
      </x:c>
      <x:c r="V176" s="44" t="n">
        <x:v>0.37331806470083023</x:v>
      </x:c>
      <x:c r="W176" s="44" t="n">
        <x:v>0.020898940738620097</x:v>
      </x:c>
      <x:c r="X176" s="44" t="n">
        <x:v>0.18465502433438305</x:v>
      </x:c>
      <x:c r="Y176" s="44" t="n">
        <x:v>0</x:v>
      </x:c>
      <x:c r="Z176" s="44" t="n">
        <x:v>0.9352941176470588</x:v>
      </x:c>
      <x:c r="AA176" s="45" t="n">
        <x:v>0.21764705882352942</x:v>
      </x:c>
      <x:c r="AB176" s="45" t="n">
        <x:v>0.8764705882352941</x:v>
      </x:c>
      <x:c r="AC176" s="45" t="n">
        <x:v>0.9</x:v>
      </x:c>
      <x:c r="AD176" s="44" t="n">
        <x:v>0.9705882352941176</x:v>
      </x:c>
      <x:c r="AE176" s="44" t="n">
        <x:v>0.9058823529411765</x:v>
      </x:c>
      <x:c r="AF176" s="45" t="n">
        <x:v>0.5617647058823529</x:v>
      </x:c>
      <x:c r="AG176" s="45" t="n">
        <x:v>0.4803921568627451</x:v>
      </x:c>
      <x:c r="AH176" s="44" t="n">
        <x:v>0.38235294117647056</x:v>
      </x:c>
      <x:c r="AI176" s="44" t="n">
        <x:v>0.5588235294117647</x:v>
      </x:c>
      <x:c r="AJ176" s="45" t="n">
        <x:v>0.5</x:v>
      </x:c>
      <x:c r="AK176" s="45" t="n">
        <x:v>0.462037037037037</x:v>
      </x:c>
      <x:c r="AL176" s="45" t="n">
        <x:v>0.501397966594045</x:v>
      </x:c>
      <x:c r="AM176" s="44" t="n">
        <x:v>0.5210784313725491</x:v>
      </x:c>
    </x:row>
    <x:row r="177" ht="15" hidden="0" customHeight="1">
      <x:c r="A177" s="44" t="str">
        <x:v>139-001</x:v>
      </x:c>
      <x:c r="B177" s="44" t="str">
        <x:v>Khanpur Cave</x:v>
      </x:c>
      <x:c r="C177" s="44" t="n">
        <x:v>1000</x:v>
      </x:c>
      <x:c r="D177" s="44" t="str">
        <x:v>E2014</x:v>
      </x:c>
      <x:c r="E177" s="44" t="n">
        <x:v>2014</x:v>
      </x:c>
      <x:c r="F177" s="44" t="n">
        <x:v>3272</x:v>
      </x:c>
      <x:c r="G177" s="45" t="n">
        <x:v>0.34981071949005127</x:v>
      </x:c>
      <x:c r="H177" s="44" t="n">
        <x:v>0.1976546198129654</x:v>
      </x:c>
      <x:c r="I177" s="44" t="n">
        <x:v>0.5296118855476379</x:v>
      </x:c>
      <x:c r="J177" s="45" t="n">
        <x:v>0.0024674576707184315</x:v>
      </x:c>
      <x:c r="K177" s="44" t="n">
        <x:v>-0.15000829100608826</x:v>
      </x:c>
      <x:c r="L177" s="44" t="n">
        <x:v>0.1422482579946518</x:v>
      </x:c>
      <x:c r="M177" s="45" t="n">
        <x:v>-0.4138700067996979</x:v>
      </x:c>
      <x:c r="N177" s="44" t="n">
        <x:v>-0.45470041036605835</x:v>
      </x:c>
      <x:c r="O177" s="44" t="n">
        <x:v>-0.3438180685043335</x:v>
      </x:c>
      <x:c r="P177" s="45" t="n">
        <x:v>0.07506611943244934</x:v>
      </x:c>
      <x:c r="Q177" s="44" t="n">
        <x:v>-0.06186298280954361</x:v>
      </x:c>
      <x:c r="R177" s="44" t="n">
        <x:v>0.17828813195228577</x:v>
      </x:c>
      <x:c r="S177" s="44" t="n">
        <x:v>3272</x:v>
      </x:c>
      <x:c r="T177" s="44" t="n">
        <x:v>0.1965158924205379</x:v>
      </x:c>
      <x:c r="U177" s="44" t="n">
        <x:v>0.15617359413202933</x:v>
      </x:c>
      <x:c r="V177" s="44" t="n">
        <x:v>0.32182151589242053</x:v>
      </x:c>
      <x:c r="W177" s="44" t="n">
        <x:v>0.105440097799511</x:v>
      </x:c>
      <x:c r="X177" s="44" t="n">
        <x:v>0.2200488997555012</x:v>
      </x:c>
      <x:c r="Y177" s="44" t="n">
        <x:v>0</x:v>
      </x:c>
      <x:c r="Z177" s="44" t="n">
        <x:v>0.7352941176470589</x:v>
      </x:c>
      <x:c r="AA177" s="45" t="n">
        <x:v>0.37058823529411766</x:v>
      </x:c>
      <x:c r="AB177" s="45" t="n">
        <x:v>0.7941176470588235</x:v>
      </x:c>
      <x:c r="AC177" s="45" t="n">
        <x:v>0.7941176470588235</x:v>
      </x:c>
      <x:c r="AD177" s="44" t="n">
        <x:v>0.9823529411764705</x:v>
      </x:c>
      <x:c r="AE177" s="44" t="n">
        <x:v>0.7647058823529411</x:v>
      </x:c>
      <x:c r="AF177" s="45" t="n">
        <x:v>0.5676470588235294</x:v>
      </x:c>
      <x:c r="AG177" s="45" t="n">
        <x:v>0.4803921568627451</x:v>
      </x:c>
      <x:c r="AH177" s="44" t="n">
        <x:v>0.38235294117647056</x:v>
      </x:c>
      <x:c r="AI177" s="44" t="n">
        <x:v>0.5588235294117647</x:v>
      </x:c>
      <x:c r="AJ177" s="45" t="n">
        <x:v>0.5</x:v>
      </x:c>
      <x:c r="AK177" s="45" t="n">
        <x:v>0.4842592592592592</x:v>
      </x:c>
      <x:c r="AL177" s="45" t="n">
        <x:v>0.5107661583151779</x:v>
      </x:c>
      <x:c r="AM177" s="44" t="n">
        <x:v>0.5240196078431373</x:v>
      </x:c>
    </x:row>
    <x:row r="178" ht="15" hidden="0" customHeight="1">
      <x:c r="A178" s="44" t="str">
        <x:v>139-001</x:v>
      </x:c>
      <x:c r="B178" s="44" t="str">
        <x:v>Khanpur Cave</x:v>
      </x:c>
      <x:c r="C178" s="44" t="n">
        <x:v>1000</x:v>
      </x:c>
      <x:c r="D178" s="44" t="str">
        <x:v>E2019</x:v>
      </x:c>
      <x:c r="E178" s="44" t="n">
        <x:v>2019</x:v>
      </x:c>
      <x:c r="F178" s="44" t="n">
        <x:v>2948</x:v>
      </x:c>
      <x:c r="G178" s="45" t="n">
        <x:v>0.3479853570461273</x:v>
      </x:c>
      <x:c r="H178" s="44" t="n">
        <x:v>0.2048277109861374</x:v>
      </x:c>
      <x:c r="I178" s="44" t="n">
        <x:v>0.5543962717056274</x:v>
      </x:c>
      <x:c r="J178" s="45" t="n">
        <x:v>-0.01072080247104168</x:v>
      </x:c>
      <x:c r="K178" s="44" t="n">
        <x:v>-0.18612931668758392</x:v>
      </x:c>
      <x:c r="L178" s="44" t="n">
        <x:v>0.13921160995960236</x:v>
      </x:c>
      <x:c r="M178" s="45" t="n">
        <x:v>-0.40671199560165405</x:v>
      </x:c>
      <x:c r="N178" s="44" t="n">
        <x:v>-0.4496842920780182</x:v>
      </x:c>
      <x:c r="O178" s="44" t="n">
        <x:v>-0.33059611916542053</x:v>
      </x:c>
      <x:c r="P178" s="45" t="n">
        <x:v>0.0694233849644661</x:v>
      </x:c>
      <x:c r="Q178" s="44" t="n">
        <x:v>-0.09065715223550797</x:v>
      </x:c>
      <x:c r="R178" s="44" t="n">
        <x:v>0.17594687640666962</x:v>
      </x:c>
      <x:c r="S178" s="44" t="n">
        <x:v>2948</x:v>
      </x:c>
      <x:c r="T178" s="44" t="n">
        <x:v>0.21743554952510177</x:v>
      </x:c>
      <x:c r="U178" s="44" t="n">
        <x:v>0.1719810040705563</x:v>
      </x:c>
      <x:c r="V178" s="44" t="n">
        <x:v>0.2669606512890095</x:v>
      </x:c>
      <x:c r="W178" s="44" t="n">
        <x:v>0.13331071913161466</x:v>
      </x:c>
      <x:c r="X178" s="44" t="n">
        <x:v>0.21031207598371776</x:v>
      </x:c>
      <x:c r="Y178" s="44" t="n">
        <x:v>0</x:v>
      </x:c>
      <x:c r="Z178" s="44" t="n">
        <x:v>0.7705882352941177</x:v>
      </x:c>
      <x:c r="AA178" s="45" t="n">
        <x:v>0.19411764705882353</x:v>
      </x:c>
      <x:c r="AB178" s="45" t="n">
        <x:v>0.7352941176470589</x:v>
      </x:c>
      <x:c r="AC178" s="45" t="n">
        <x:v>0.8176470588235294</x:v>
      </x:c>
      <x:c r="AD178" s="44" t="n">
        <x:v>0.9941176470588236</x:v>
      </x:c>
      <x:c r="AE178" s="44" t="n">
        <x:v>0.7529411764705882</x:v>
      </x:c>
      <x:c r="AF178" s="45" t="n">
        <x:v>0.47352941176470587</x:v>
      </x:c>
      <x:c r="AG178" s="45" t="n">
        <x:v>0.4803921568627451</x:v>
      </x:c>
      <x:c r="AH178" s="44" t="n">
        <x:v>0.38235294117647056</x:v>
      </x:c>
      <x:c r="AI178" s="44" t="n">
        <x:v>0.5588235294117647</x:v>
      </x:c>
      <x:c r="AJ178" s="45" t="n">
        <x:v>0.5</x:v>
      </x:c>
      <x:c r="AK178" s="45" t="n">
        <x:v>0.3138888888888889</x:v>
      </x:c>
      <x:c r="AL178" s="45" t="n">
        <x:v>0.42260348583877994</x:v>
      </x:c>
      <x:c r="AM178" s="44" t="n">
        <x:v>0.47696078431372546</x:v>
      </x:c>
    </x:row>
    <x:row r="179" ht="15" hidden="0" customHeight="1">
      <x:c r="A179" s="44" t="str">
        <x:v>139-001</x:v>
      </x:c>
      <x:c r="B179" s="44" t="str">
        <x:v>Khanpur Cave</x:v>
      </x:c>
      <x:c r="C179" s="44" t="n">
        <x:v>1000</x:v>
      </x:c>
      <x:c r="D179" s="44" t="str">
        <x:v>E2024</x:v>
      </x:c>
      <x:c r="E179" s="44" t="n">
        <x:v>2024</x:v>
      </x:c>
      <x:c r="F179" s="44" t="n">
        <x:v>3266</x:v>
      </x:c>
      <x:c r="G179" s="45" t="n">
        <x:v>0.40490472316741943</x:v>
      </x:c>
      <x:c r="H179" s="44" t="n">
        <x:v>0.24132108688354492</x:v>
      </x:c>
      <x:c r="I179" s="44" t="n">
        <x:v>0.6087708473205566</x:v>
      </x:c>
      <x:c r="J179" s="45" t="n">
        <x:v>-0.048923470079898834</x:v>
      </x:c>
      <x:c r="K179" s="44" t="n">
        <x:v>-0.2123694121837616</x:v>
      </x:c>
      <x:c r="L179" s="44" t="n">
        <x:v>0.094660684466362</x:v>
      </x:c>
      <x:c r="M179" s="45" t="n">
        <x:v>-0.41582465171813965</x:v>
      </x:c>
      <x:c r="N179" s="44" t="n">
        <x:v>-0.461810827255249</x:v>
      </x:c>
      <x:c r="O179" s="44" t="n">
        <x:v>-0.3346123695373535</x:v>
      </x:c>
      <x:c r="P179" s="45" t="n">
        <x:v>0.03288399428129196</x:v>
      </x:c>
      <x:c r="Q179" s="44" t="n">
        <x:v>-0.12140548229217529</x:v>
      </x:c>
      <x:c r="R179" s="44" t="n">
        <x:v>0.1435035765171051</x:v>
      </x:c>
      <x:c r="S179" s="44" t="n">
        <x:v>3266</x:v>
      </x:c>
      <x:c r="T179" s="44" t="n">
        <x:v>0.2232088181261482</x:v>
      </x:c>
      <x:c r="U179" s="44" t="n">
        <x:v>0.052663808940600125</x:v>
      </x:c>
      <x:c r="V179" s="44" t="n">
        <x:v>0.30067360685854255</x:v>
      </x:c>
      <x:c r="W179" s="44" t="n">
        <x:v>0.19503980404164115</x:v>
      </x:c>
      <x:c r="X179" s="44" t="n">
        <x:v>0.22841396203306796</x:v>
      </x:c>
      <x:c r="Y179" s="44" t="n">
        <x:v>0</x:v>
      </x:c>
      <x:c r="Z179" s="44" t="n">
        <x:v>0.4764705882352941</x:v>
      </x:c>
      <x:c r="AA179" s="45" t="n">
        <x:v>0.4411764705882353</x:v>
      </x:c>
      <x:c r="AB179" s="45" t="n">
        <x:v>0.45294117647058824</x:v>
      </x:c>
      <x:c r="AC179" s="45" t="n">
        <x:v>0.8294117647058824</x:v>
      </x:c>
      <x:c r="AD179" s="44" t="n">
        <x:v>0.8411764705882353</x:v>
      </x:c>
      <x:c r="AE179" s="44" t="n">
        <x:v>0.4647058823529412</x:v>
      </x:c>
      <x:c r="AF179" s="45" t="n">
        <x:v>0.45294117647058824</x:v>
      </x:c>
      <x:c r="AG179" s="45" t="n">
        <x:v>0.4803921568627451</x:v>
      </x:c>
      <x:c r="AH179" s="44" t="n">
        <x:v>0.38235294117647056</x:v>
      </x:c>
      <x:c r="AI179" s="44" t="n">
        <x:v>0.5588235294117647</x:v>
      </x:c>
      <x:c r="AJ179" s="45" t="n">
        <x:v>0.5</x:v>
      </x:c>
      <x:c r="AK179" s="45" t="n">
        <x:v>0.5259259259259259</x:v>
      </x:c>
      <x:c r="AL179" s="45" t="n">
        <x:v>0.48641975308641977</x:v>
      </x:c>
      <x:c r="AM179" s="44" t="n">
        <x:v>0.4666666666666667</x:v>
      </x:c>
    </x:row>
    <x:row r="180" ht="15" hidden="0" customHeight="1">
      <x:c r="A180" s="44" t="str">
        <x:v>139-003</x:v>
      </x:c>
      <x:c r="B180" s="44" t="str">
        <x:v>Bhir Mound</x:v>
      </x:c>
      <x:c r="C180" s="44" t="n">
        <x:v>1000</x:v>
      </x:c>
      <x:c r="D180" s="44" t="str">
        <x:v>E2004</x:v>
      </x:c>
      <x:c r="E180" s="44" t="n">
        <x:v>2004</x:v>
      </x:c>
      <x:c r="F180" s="44" t="n">
        <x:v>3489</x:v>
      </x:c>
      <x:c r="G180" s="45" t="n">
        <x:v>0.31480807065963745</x:v>
      </x:c>
      <x:c r="H180" s="44" t="n">
        <x:v>0.2216206192970276</x:v>
      </x:c>
      <x:c r="I180" s="44" t="n">
        <x:v>0.4463232457637787</x:v>
      </x:c>
      <x:c r="J180" s="45" t="n">
        <x:v>0.01252331305295229</x:v>
      </x:c>
      <x:c r="K180" s="44" t="n">
        <x:v>-0.08869262784719467</x:v>
      </x:c>
      <x:c r="L180" s="44" t="n">
        <x:v>0.06097443401813507</x:v>
      </x:c>
      <x:c r="M180" s="45" t="n">
        <x:v>-0.3996322453022003</x:v>
      </x:c>
      <x:c r="N180" s="44" t="n">
        <x:v>-0.44041353464126587</x:v>
      </x:c>
      <x:c r="O180" s="44" t="n">
        <x:v>-0.3391517102718353</x:v>
      </x:c>
      <x:c r="P180" s="45" t="n">
        <x:v>0.084952712059021</x:v>
      </x:c>
      <x:c r="Q180" s="44" t="n">
        <x:v>-0.006449395325034857</x:v>
      </x:c>
      <x:c r="R180" s="44" t="n">
        <x:v>0.13176065683364868</x:v>
      </x:c>
      <x:c r="S180" s="44" t="n">
        <x:v>3489</x:v>
      </x:c>
      <x:c r="T180" s="44" t="n">
        <x:v>0.3287474921180854</x:v>
      </x:c>
      <x:c r="U180" s="44" t="n">
        <x:v>0.0352536543422184</x:v>
      </x:c>
      <x:c r="V180" s="44" t="n">
        <x:v>0.5362568071080539</x:v>
      </x:c>
      <x:c r="W180" s="44" t="n">
        <x:v>0.02522212668386357</x:v>
      </x:c>
      <x:c r="X180" s="44" t="n">
        <x:v>0.07451991974777873</x:v>
      </x:c>
      <x:c r="Y180" s="44" t="n">
        <x:v>0</x:v>
      </x:c>
      <x:c r="Z180" s="44" t="n">
        <x:v>0.9705882352941176</x:v>
      </x:c>
      <x:c r="AA180" s="45" t="n">
        <x:v>0.1</x:v>
      </x:c>
      <x:c r="AB180" s="45" t="n">
        <x:v>0.9235294117647059</x:v>
      </x:c>
      <x:c r="AC180" s="45" t="n">
        <x:v>0.9588235294117647</x:v>
      </x:c>
      <x:c r="AD180" s="44" t="n">
        <x:v>0.7588235294117647</x:v>
      </x:c>
      <x:c r="AE180" s="44" t="n">
        <x:v>0.9470588235294117</x:v>
      </x:c>
      <x:c r="AF180" s="45" t="n">
        <x:v>0.5235294117647059</x:v>
      </x:c>
      <x:c r="AG180" s="45" t="n">
        <x:v>0.34313725490196073</x:v>
      </x:c>
      <x:c r="AH180" s="44" t="n">
        <x:v>0.2647058823529412</x:v>
      </x:c>
      <x:c r="AI180" s="44" t="n">
        <x:v>0.6764705882352942</x:v>
      </x:c>
      <x:c r="AJ180" s="45" t="n">
        <x:v>0.08823529411764706</x:v>
      </x:c>
      <x:c r="AK180" s="45" t="n">
        <x:v>0.5166666666666666</x:v>
      </x:c>
      <x:c r="AL180" s="45" t="n">
        <x:v>0.4611111111111111</x:v>
      </x:c>
      <x:c r="AM180" s="44" t="n">
        <x:v>0.43333333333333335</x:v>
      </x:c>
    </x:row>
    <x:row r="181" ht="15" hidden="0" customHeight="1">
      <x:c r="A181" s="44" t="str">
        <x:v>139-003</x:v>
      </x:c>
      <x:c r="B181" s="44" t="str">
        <x:v>Bhir Mound</x:v>
      </x:c>
      <x:c r="C181" s="44" t="n">
        <x:v>1000</x:v>
      </x:c>
      <x:c r="D181" s="44" t="str">
        <x:v>E2009</x:v>
      </x:c>
      <x:c r="E181" s="44" t="n">
        <x:v>2009</x:v>
      </x:c>
      <x:c r="F181" s="44" t="n">
        <x:v>3481</x:v>
      </x:c>
      <x:c r="G181" s="45" t="n">
        <x:v>0.29610735177993774</x:v>
      </x:c>
      <x:c r="H181" s="44" t="n">
        <x:v>0.21286392211914062</x:v>
      </x:c>
      <x:c r="I181" s="44" t="n">
        <x:v>0.409003883600235</x:v>
      </x:c>
      <x:c r="J181" s="45" t="n">
        <x:v>0.016537027433514595</x:v>
      </x:c>
      <x:c r="K181" s="44" t="n">
        <x:v>-0.056509170681238174</x:v>
      </x:c>
      <x:c r="L181" s="44" t="n">
        <x:v>0.06165066361427307</x:v>
      </x:c>
      <x:c r="M181" s="45" t="n">
        <x:v>-0.38879403471946716</x:v>
      </x:c>
      <x:c r="N181" s="44" t="n">
        <x:v>-0.43066442012786865</x:v>
      </x:c>
      <x:c r="O181" s="44" t="n">
        <x:v>-0.3270556330680847</x:v>
      </x:c>
      <x:c r="P181" s="45" t="n">
        <x:v>0.08831144124269485</x:v>
      </x:c>
      <x:c r="Q181" s="44" t="n">
        <x:v>0.018924415111541748</x:v>
      </x:c>
      <x:c r="R181" s="44" t="n">
        <x:v>0.129420667886734</x:v>
      </x:c>
      <x:c r="S181" s="44" t="n">
        <x:v>3481</x:v>
      </x:c>
      <x:c r="T181" s="44" t="n">
        <x:v>0.4357943119793163</x:v>
      </x:c>
      <x:c r="U181" s="44" t="n">
        <x:v>0.06722206262568227</x:v>
      </x:c>
      <x:c r="V181" s="44" t="n">
        <x:v>0.41597242171789717</x:v>
      </x:c>
      <x:c r="W181" s="44" t="n">
        <x:v>0.0017236426314277506</x:v>
      </x:c>
      <x:c r="X181" s="44" t="n">
        <x:v>0.07928756104567652</x:v>
      </x:c>
      <x:c r="Y181" s="44" t="n">
        <x:v>0</x:v>
      </x:c>
      <x:c r="Z181" s="44" t="n">
        <x:v>0.9941176470588236</x:v>
      </x:c>
      <x:c r="AA181" s="45" t="n">
        <x:v>0.029411764705882353</x:v>
      </x:c>
      <x:c r="AB181" s="45" t="n">
        <x:v>0.9470588235294117</x:v>
      </x:c>
      <x:c r="AC181" s="45" t="n">
        <x:v>0.9941176470588236</x:v>
      </x:c>
      <x:c r="AD181" s="44" t="n">
        <x:v>0.8647058823529412</x:v>
      </x:c>
      <x:c r="AE181" s="44" t="n">
        <x:v>0.9705882352941176</x:v>
      </x:c>
      <x:c r="AF181" s="45" t="n">
        <x:v>0.5</x:v>
      </x:c>
      <x:c r="AG181" s="45" t="n">
        <x:v>0.34313725490196073</x:v>
      </x:c>
      <x:c r="AH181" s="44" t="n">
        <x:v>0.2647058823529412</x:v>
      </x:c>
      <x:c r="AI181" s="44" t="n">
        <x:v>0.6764705882352942</x:v>
      </x:c>
      <x:c r="AJ181" s="45" t="n">
        <x:v>0.08823529411764706</x:v>
      </x:c>
      <x:c r="AK181" s="45" t="n">
        <x:v>0.462037037037037</x:v>
      </x:c>
      <x:c r="AL181" s="45" t="n">
        <x:v>0.4350580973129992</x:v>
      </x:c>
      <x:c r="AM181" s="44" t="n">
        <x:v>0.42156862745098034</x:v>
      </x:c>
    </x:row>
    <x:row r="182" ht="15" hidden="0" customHeight="1">
      <x:c r="A182" s="44" t="str">
        <x:v>139-003</x:v>
      </x:c>
      <x:c r="B182" s="44" t="str">
        <x:v>Bhir Mound</x:v>
      </x:c>
      <x:c r="C182" s="44" t="n">
        <x:v>1000</x:v>
      </x:c>
      <x:c r="D182" s="44" t="str">
        <x:v>E2014</x:v>
      </x:c>
      <x:c r="E182" s="44" t="n">
        <x:v>2014</x:v>
      </x:c>
      <x:c r="F182" s="44" t="n">
        <x:v>2381</x:v>
      </x:c>
      <x:c r="G182" s="45" t="n">
        <x:v>0.3482879400253296</x:v>
      </x:c>
      <x:c r="H182" s="44" t="n">
        <x:v>0.23629838228225708</x:v>
      </x:c>
      <x:c r="I182" s="44" t="n">
        <x:v>0.5060669779777527</x:v>
      </x:c>
      <x:c r="J182" s="45" t="n">
        <x:v>-0.0038774353452026844</x:v>
      </x:c>
      <x:c r="K182" s="44" t="n">
        <x:v>-0.10302184522151947</x:v>
      </x:c>
      <x:c r="L182" s="44" t="n">
        <x:v>0.06264150887727737</x:v>
      </x:c>
      <x:c r="M182" s="45" t="n">
        <x:v>-0.399859756231308</x:v>
      </x:c>
      <x:c r="N182" s="44" t="n">
        <x:v>-0.44785863161087036</x:v>
      </x:c>
      <x:c r="O182" s="44" t="n">
        <x:v>-0.3395127058029175</x:v>
      </x:c>
      <x:c r="P182" s="45" t="n">
        <x:v>0.06950771808624268</x:v>
      </x:c>
      <x:c r="Q182" s="44" t="n">
        <x:v>-0.024026378989219666</x:v>
      </x:c>
      <x:c r="R182" s="44" t="n">
        <x:v>0.1242239773273468</x:v>
      </x:c>
      <x:c r="S182" s="44" t="n">
        <x:v>2381</x:v>
      </x:c>
      <x:c r="T182" s="44" t="n">
        <x:v>0.28475430491390175</x:v>
      </x:c>
      <x:c r="U182" s="44" t="n">
        <x:v>0.03485930281394372</x:v>
      </x:c>
      <x:c r="V182" s="44" t="n">
        <x:v>0.47795044099118017</x:v>
      </x:c>
      <x:c r="W182" s="44" t="n">
        <x:v>0.05291894162116758</x:v>
      </x:c>
      <x:c r="X182" s="44" t="n">
        <x:v>0.1495170096598068</x:v>
      </x:c>
      <x:c r="Y182" s="44" t="n">
        <x:v>0</x:v>
      </x:c>
      <x:c r="Z182" s="44" t="n">
        <x:v>0.7588235294117647</x:v>
      </x:c>
      <x:c r="AA182" s="45" t="n">
        <x:v>0.11176470588235295</x:v>
      </x:c>
      <x:c r="AB182" s="45" t="n">
        <x:v>0.7588235294117647</x:v>
      </x:c>
      <x:c r="AC182" s="45" t="n">
        <x:v>0.9117647058823529</x:v>
      </x:c>
      <x:c r="AD182" s="44" t="n">
        <x:v>0.7470588235294118</x:v>
      </x:c>
      <x:c r="AE182" s="44" t="n">
        <x:v>0.7588235294117647</x:v>
      </x:c>
      <x:c r="AF182" s="45" t="n">
        <x:v>0.43529411764705883</x:v>
      </x:c>
      <x:c r="AG182" s="45" t="n">
        <x:v>0.34313725490196073</x:v>
      </x:c>
      <x:c r="AH182" s="44" t="n">
        <x:v>0.2647058823529412</x:v>
      </x:c>
      <x:c r="AI182" s="44" t="n">
        <x:v>0.6764705882352942</x:v>
      </x:c>
      <x:c r="AJ182" s="45" t="n">
        <x:v>0.08823529411764706</x:v>
      </x:c>
      <x:c r="AK182" s="45" t="n">
        <x:v>0.4842592592592592</x:v>
      </x:c>
      <x:c r="AL182" s="45" t="n">
        <x:v>0.4208968772694262</x:v>
      </x:c>
      <x:c r="AM182" s="44" t="n">
        <x:v>0.38921568627450975</x:v>
      </x:c>
    </x:row>
    <x:row r="183" ht="15" hidden="0" customHeight="1">
      <x:c r="A183" s="44" t="str">
        <x:v>139-003</x:v>
      </x:c>
      <x:c r="B183" s="44" t="str">
        <x:v>Bhir Mound</x:v>
      </x:c>
      <x:c r="C183" s="44" t="n">
        <x:v>1000</x:v>
      </x:c>
      <x:c r="D183" s="44" t="str">
        <x:v>E2019</x:v>
      </x:c>
      <x:c r="E183" s="44" t="n">
        <x:v>2019</x:v>
      </x:c>
      <x:c r="F183" s="44" t="n">
        <x:v>2003</x:v>
      </x:c>
      <x:c r="G183" s="45" t="n">
        <x:v>0.37742751836776733</x:v>
      </x:c>
      <x:c r="H183" s="44" t="n">
        <x:v>0.24826711416244507</x:v>
      </x:c>
      <x:c r="I183" s="44" t="n">
        <x:v>0.517604649066925</x:v>
      </x:c>
      <x:c r="J183" s="45" t="n">
        <x:v>-0.018664320930838585</x:v>
      </x:c>
      <x:c r="K183" s="44" t="n">
        <x:v>-0.11978529393672943</x:v>
      </x:c>
      <x:c r="L183" s="44" t="n">
        <x:v>0.046035055071115494</x:v>
      </x:c>
      <x:c r="M183" s="45" t="n">
        <x:v>-0.402418315410614</x:v>
      </x:c>
      <x:c r="N183" s="44" t="n">
        <x:v>-0.4532153904438019</x:v>
      </x:c>
      <x:c r="O183" s="44" t="n">
        <x:v>-0.33510923385620117</x:v>
      </x:c>
      <x:c r="P183" s="45" t="n">
        <x:v>0.055081434547901154</x:v>
      </x:c>
      <x:c r="Q183" s="44" t="n">
        <x:v>-0.0370931550860405</x:v>
      </x:c>
      <x:c r="R183" s="44" t="n">
        <x:v>0.11079858988523483</x:v>
      </x:c>
      <x:c r="S183" s="44" t="n">
        <x:v>2003</x:v>
      </x:c>
      <x:c r="T183" s="44" t="n">
        <x:v>0.28856714927608584</x:v>
      </x:c>
      <x:c r="U183" s="44" t="n">
        <x:v>0.014977533699450823</x:v>
      </x:c>
      <x:c r="V183" s="44" t="n">
        <x:v>0.4797803295057414</x:v>
      </x:c>
      <x:c r="W183" s="44" t="n">
        <x:v>0.07189216175736396</x:v>
      </x:c>
      <x:c r="X183" s="44" t="n">
        <x:v>0.14478282576135795</x:v>
      </x:c>
      <x:c r="Y183" s="44" t="n">
        <x:v>0</x:v>
      </x:c>
      <x:c r="Z183" s="44" t="n">
        <x:v>0.6882352941176471</x:v>
      </x:c>
      <x:c r="AA183" s="45" t="n">
        <x:v>0.13529411764705881</x:v>
      </x:c>
      <x:c r="AB183" s="45" t="n">
        <x:v>0.7</x:v>
      </x:c>
      <x:c r="AC183" s="45" t="n">
        <x:v>0.9235294117647059</x:v>
      </x:c>
      <x:c r="AD183" s="44" t="n">
        <x:v>0.6529411764705882</x:v>
      </x:c>
      <x:c r="AE183" s="44" t="n">
        <x:v>0.6941176470588235</x:v>
      </x:c>
      <x:c r="AF183" s="45" t="n">
        <x:v>0.41470588235294115</x:v>
      </x:c>
      <x:c r="AG183" s="45" t="n">
        <x:v>0.34313725490196073</x:v>
      </x:c>
      <x:c r="AH183" s="44" t="n">
        <x:v>0.2647058823529412</x:v>
      </x:c>
      <x:c r="AI183" s="44" t="n">
        <x:v>0.6764705882352942</x:v>
      </x:c>
      <x:c r="AJ183" s="45" t="n">
        <x:v>0.08823529411764706</x:v>
      </x:c>
      <x:c r="AK183" s="45" t="n">
        <x:v>0.3138888888888889</x:v>
      </x:c>
      <x:c r="AL183" s="45" t="n">
        <x:v>0.35724400871459694</x:v>
      </x:c>
      <x:c r="AM183" s="44" t="n">
        <x:v>0.37892156862745097</x:v>
      </x:c>
    </x:row>
    <x:row r="184" ht="15" hidden="0" customHeight="1">
      <x:c r="A184" s="44" t="str">
        <x:v>139-003</x:v>
      </x:c>
      <x:c r="B184" s="44" t="str">
        <x:v>Bhir Mound</x:v>
      </x:c>
      <x:c r="C184" s="44" t="n">
        <x:v>1000</x:v>
      </x:c>
      <x:c r="D184" s="44" t="str">
        <x:v>E2024</x:v>
      </x:c>
      <x:c r="E184" s="44" t="n">
        <x:v>2024</x:v>
      </x:c>
      <x:c r="F184" s="44" t="n">
        <x:v>2787</x:v>
      </x:c>
      <x:c r="G184" s="45" t="n">
        <x:v>0.40102165937423706</x:v>
      </x:c>
      <x:c r="H184" s="44" t="n">
        <x:v>0.2426622062921524</x:v>
      </x:c>
      <x:c r="I184" s="44" t="n">
        <x:v>0.5558464527130127</x:v>
      </x:c>
      <x:c r="J184" s="45" t="n">
        <x:v>-0.046242665499448776</x:v>
      </x:c>
      <x:c r="K184" s="44" t="n">
        <x:v>-0.14545966684818268</x:v>
      </x:c>
      <x:c r="L184" s="44" t="n">
        <x:v>0.0349375382065773</x:v>
      </x:c>
      <x:c r="M184" s="45" t="n">
        <x:v>-0.39499858021736145</x:v>
      </x:c>
      <x:c r="N184" s="44" t="n">
        <x:v>-0.44756922125816345</x:v>
      </x:c>
      <x:c r="O184" s="44" t="n">
        <x:v>-0.3115370571613312</x:v>
      </x:c>
      <x:c r="P184" s="45" t="n">
        <x:v>0.030646171420812607</x:v>
      </x:c>
      <x:c r="Q184" s="44" t="n">
        <x:v>-0.06581109762191772</x:v>
      </x:c>
      <x:c r="R184" s="44" t="n">
        <x:v>0.10256518423557281</x:v>
      </x:c>
      <x:c r="S184" s="44" t="n">
        <x:v>2787</x:v>
      </x:c>
      <x:c r="T184" s="44" t="n">
        <x:v>0.3376390383925368</x:v>
      </x:c>
      <x:c r="U184" s="44" t="n">
        <x:v>0.00968783638320775</x:v>
      </x:c>
      <x:c r="V184" s="44" t="n">
        <x:v>0.41657696447793324</x:v>
      </x:c>
      <x:c r="W184" s="44" t="n">
        <x:v>0.09616074632221026</x:v>
      </x:c>
      <x:c r="X184" s="44" t="n">
        <x:v>0.13993541442411195</x:v>
      </x:c>
      <x:c r="Y184" s="44" t="n">
        <x:v>0</x:v>
      </x:c>
      <x:c r="Z184" s="44" t="n">
        <x:v>0.5</x:v>
      </x:c>
      <x:c r="AA184" s="45" t="n">
        <x:v>0.06470588235294118</x:v>
      </x:c>
      <x:c r="AB184" s="45" t="n">
        <x:v>0.4647058823529412</x:v>
      </x:c>
      <x:c r="AC184" s="45" t="n">
        <x:v>0.9705882352941176</x:v>
      </x:c>
      <x:c r="AD184" s="44" t="n">
        <x:v>0.5235294117647059</x:v>
      </x:c>
      <x:c r="AE184" s="44" t="n">
        <x:v>0.4823529411764706</x:v>
      </x:c>
      <x:c r="AF184" s="45" t="n">
        <x:v>0.2735294117647059</x:v>
      </x:c>
      <x:c r="AG184" s="45" t="n">
        <x:v>0.34313725490196073</x:v>
      </x:c>
      <x:c r="AH184" s="44" t="n">
        <x:v>0.2647058823529412</x:v>
      </x:c>
      <x:c r="AI184" s="44" t="n">
        <x:v>0.6764705882352942</x:v>
      </x:c>
      <x:c r="AJ184" s="45" t="n">
        <x:v>0.08823529411764706</x:v>
      </x:c>
      <x:c r="AK184" s="45" t="n">
        <x:v>0.5259259259259259</x:v>
      </x:c>
      <x:c r="AL184" s="45" t="n">
        <x:v>0.3808641975308642</x:v>
      </x:c>
      <x:c r="AM184" s="44" t="n">
        <x:v>0.30833333333333335</x:v>
      </x:c>
    </x:row>
    <x:row r="185" ht="15" hidden="0" customHeight="1">
      <x:c r="A185" s="44" t="str">
        <x:v>139-004</x:v>
      </x:c>
      <x:c r="B185" s="44" t="str">
        <x:v>Sirkap (fortified city)</x:v>
      </x:c>
      <x:c r="C185" s="44" t="n">
        <x:v>1000</x:v>
      </x:c>
      <x:c r="D185" s="44" t="str">
        <x:v>E2004</x:v>
      </x:c>
      <x:c r="E185" s="44" t="n">
        <x:v>2004</x:v>
      </x:c>
      <x:c r="F185" s="44" t="n">
        <x:v>3494</x:v>
      </x:c>
      <x:c r="G185" s="45" t="n">
        <x:v>0.34073808789253235</x:v>
      </x:c>
      <x:c r="H185" s="44" t="n">
        <x:v>0.2548179030418396</x:v>
      </x:c>
      <x:c r="I185" s="44" t="n">
        <x:v>0.44155651330947876</x:v>
      </x:c>
      <x:c r="J185" s="45" t="n">
        <x:v>0.004210165701806545</x:v>
      </x:c>
      <x:c r="K185" s="44" t="n">
        <x:v>-0.09160400927066803</x:v>
      </x:c>
      <x:c r="L185" s="44" t="n">
        <x:v>0.06291792541742325</x:v>
      </x:c>
      <x:c r="M185" s="45" t="n">
        <x:v>-0.4154340624809265</x:v>
      </x:c>
      <x:c r="N185" s="44" t="n">
        <x:v>-0.4488537311553955</x:v>
      </x:c>
      <x:c r="O185" s="44" t="n">
        <x:v>-0.3726460337638855</x:v>
      </x:c>
      <x:c r="P185" s="45" t="n">
        <x:v>0.08058978617191315</x:v>
      </x:c>
      <x:c r="Q185" s="44" t="n">
        <x:v>-0.006387814879417419</x:v>
      </x:c>
      <x:c r="R185" s="44" t="n">
        <x:v>0.13683152198791504</x:v>
      </x:c>
      <x:c r="S185" s="44" t="n">
        <x:v>3494</x:v>
      </x:c>
      <x:c r="T185" s="44" t="n">
        <x:v>0.10303377218088151</x:v>
      </x:c>
      <x:c r="U185" s="44" t="n">
        <x:v>0.028048082427017746</x:v>
      </x:c>
      <x:c r="V185" s="44" t="n">
        <x:v>0.7200915855752719</x:v>
      </x:c>
      <x:c r="W185" s="44" t="n">
        <x:v>0.007727532913566113</x:v>
      </x:c>
      <x:c r="X185" s="44" t="n">
        <x:v>0.14109902690326273</x:v>
      </x:c>
      <x:c r="Y185" s="44" t="n">
        <x:v>0</x:v>
      </x:c>
      <x:c r="Z185" s="44" t="n">
        <x:v>0.8294117647058824</x:v>
      </x:c>
      <x:c r="AA185" s="45" t="n">
        <x:v>0.40588235294117647</x:v>
      </x:c>
      <x:c r="AB185" s="45" t="n">
        <x:v>0.8176470588235294</x:v>
      </x:c>
      <x:c r="AC185" s="45" t="n">
        <x:v>0.5705882352941176</x:v>
      </x:c>
      <x:c r="AD185" s="44" t="n">
        <x:v>0.6882352941176471</x:v>
      </x:c>
      <x:c r="AE185" s="44" t="n">
        <x:v>0.8235294117647058</x:v>
      </x:c>
      <x:c r="AF185" s="45" t="n">
        <x:v>0.6147058823529412</x:v>
      </x:c>
      <x:c r="AG185" s="45" t="n">
        <x:v>0.40196078431372545</x:v>
      </x:c>
      <x:c r="AH185" s="44" t="n">
        <x:v>0.3235294117647059</x:v>
      </x:c>
      <x:c r="AI185" s="44" t="n">
        <x:v>0.6176470588235294</x:v>
      </x:c>
      <x:c r="AJ185" s="45" t="n">
        <x:v>0.2647058823529412</x:v>
      </x:c>
      <x:c r="AK185" s="45" t="n">
        <x:v>0.5166666666666666</x:v>
      </x:c>
      <x:c r="AL185" s="45" t="n">
        <x:v>0.5111111111111111</x:v>
      </x:c>
      <x:c r="AM185" s="44" t="n">
        <x:v>0.5083333333333333</x:v>
      </x:c>
    </x:row>
    <x:row r="186" ht="15" hidden="0" customHeight="1">
      <x:c r="A186" s="44" t="str">
        <x:v>139-004</x:v>
      </x:c>
      <x:c r="B186" s="44" t="str">
        <x:v>Sirkap (fortified city)</x:v>
      </x:c>
      <x:c r="C186" s="44" t="n">
        <x:v>1000</x:v>
      </x:c>
      <x:c r="D186" s="44" t="str">
        <x:v>E2009</x:v>
      </x:c>
      <x:c r="E186" s="44" t="n">
        <x:v>2009</x:v>
      </x:c>
      <x:c r="F186" s="44" t="n">
        <x:v>3494</x:v>
      </x:c>
      <x:c r="G186" s="45" t="n">
        <x:v>0.31684058904647827</x:v>
      </x:c>
      <x:c r="H186" s="44" t="n">
        <x:v>0.2400093525648117</x:v>
      </x:c>
      <x:c r="I186" s="44" t="n">
        <x:v>0.4084022641181946</x:v>
      </x:c>
      <x:c r="J186" s="45" t="n">
        <x:v>0.015987450256943703</x:v>
      </x:c>
      <x:c r="K186" s="44" t="n">
        <x:v>-0.0615585520863533</x:v>
      </x:c>
      <x:c r="L186" s="44" t="n">
        <x:v>0.06752821803092957</x:v>
      </x:c>
      <x:c r="M186" s="45" t="n">
        <x:v>-0.4086281657218933</x:v>
      </x:c>
      <x:c r="N186" s="44" t="n">
        <x:v>-0.4408719837665558</x:v>
      </x:c>
      <x:c r="O186" s="44" t="n">
        <x:v>-0.3601516783237457</x:v>
      </x:c>
      <x:c r="P186" s="45" t="n">
        <x:v>0.08842550963163376</x:v>
      </x:c>
      <x:c r="Q186" s="44" t="n">
        <x:v>0.015521860681474209</x:v>
      </x:c>
      <x:c r="R186" s="44" t="n">
        <x:v>0.1359281837940216</x:v>
      </x:c>
      <x:c r="S186" s="44" t="n">
        <x:v>3494</x:v>
      </x:c>
      <x:c r="T186" s="44" t="n">
        <x:v>0.19032627361190613</x:v>
      </x:c>
      <x:c r="U186" s="44" t="n">
        <x:v>0.06153405838580424</x:v>
      </x:c>
      <x:c r="V186" s="44" t="n">
        <x:v>0.6210646823125358</x:v>
      </x:c>
      <x:c r="W186" s="44" t="n">
        <x:v>0.0028620492272467086</x:v>
      </x:c>
      <x:c r="X186" s="44" t="n">
        <x:v>0.12421293646250715</x:v>
      </x:c>
      <x:c r="Y186" s="44" t="n">
        <x:v>0</x:v>
      </x:c>
      <x:c r="Z186" s="44" t="n">
        <x:v>0.9588235294117647</x:v>
      </x:c>
      <x:c r="AA186" s="45" t="n">
        <x:v>0.22941176470588234</x:v>
      </x:c>
      <x:c r="AB186" s="45" t="n">
        <x:v>0.9352941176470588</x:v>
      </x:c>
      <x:c r="AC186" s="45" t="n">
        <x:v>0.7705882352941177</x:v>
      </x:c>
      <x:c r="AD186" s="44" t="n">
        <x:v>0.8529411764705882</x:v>
      </x:c>
      <x:c r="AE186" s="44" t="n">
        <x:v>0.9470588235294117</x:v>
      </x:c>
      <x:c r="AF186" s="45" t="n">
        <x:v>0.5882352941176471</x:v>
      </x:c>
      <x:c r="AG186" s="45" t="n">
        <x:v>0.40196078431372545</x:v>
      </x:c>
      <x:c r="AH186" s="44" t="n">
        <x:v>0.3235294117647059</x:v>
      </x:c>
      <x:c r="AI186" s="44" t="n">
        <x:v>0.6176470588235294</x:v>
      </x:c>
      <x:c r="AJ186" s="45" t="n">
        <x:v>0.2647058823529412</x:v>
      </x:c>
      <x:c r="AK186" s="45" t="n">
        <x:v>0.462037037037037</x:v>
      </x:c>
      <x:c r="AL186" s="45" t="n">
        <x:v>0.4840777051561365</x:v>
      </x:c>
      <x:c r="AM186" s="44" t="n">
        <x:v>0.4950980392156863</x:v>
      </x:c>
    </x:row>
    <x:row r="187" ht="15" hidden="0" customHeight="1">
      <x:c r="A187" s="44" t="str">
        <x:v>139-004</x:v>
      </x:c>
      <x:c r="B187" s="44" t="str">
        <x:v>Sirkap (fortified city)</x:v>
      </x:c>
      <x:c r="C187" s="44" t="n">
        <x:v>1000</x:v>
      </x:c>
      <x:c r="D187" s="44" t="str">
        <x:v>E2014</x:v>
      </x:c>
      <x:c r="E187" s="44" t="n">
        <x:v>2014</x:v>
      </x:c>
      <x:c r="F187" s="44" t="n">
        <x:v>3284</x:v>
      </x:c>
      <x:c r="G187" s="45" t="n">
        <x:v>0.3367748558521271</x:v>
      </x:c>
      <x:c r="H187" s="44" t="n">
        <x:v>0.24304988980293274</x:v>
      </x:c>
      <x:c r="I187" s="44" t="n">
        <x:v>0.4872951805591583</x:v>
      </x:c>
      <x:c r="J187" s="45" t="n">
        <x:v>0.007858553901314735</x:v>
      </x:c>
      <x:c r="K187" s="44" t="n">
        <x:v>-0.09554027020931244</x:v>
      </x:c>
      <x:c r="L187" s="44" t="n">
        <x:v>0.0691974014043808</x:v>
      </x:c>
      <x:c r="M187" s="45" t="n">
        <x:v>-0.40044906735420227</x:v>
      </x:c>
      <x:c r="N187" s="44" t="n">
        <x:v>-0.45216232538223267</x:v>
      </x:c>
      <x:c r="O187" s="44" t="n">
        <x:v>-0.36422884464263916</x:v>
      </x:c>
      <x:c r="P187" s="45" t="n">
        <x:v>0.07897379994392395</x:v>
      </x:c>
      <x:c r="Q187" s="44" t="n">
        <x:v>-0.014999603852629662</x:v>
      </x:c>
      <x:c r="R187" s="44" t="n">
        <x:v>0.13074955344200134</x:v>
      </x:c>
      <x:c r="S187" s="44" t="n">
        <x:v>3284</x:v>
      </x:c>
      <x:c r="T187" s="44" t="n">
        <x:v>0.19031668696711326</x:v>
      </x:c>
      <x:c r="U187" s="44" t="n">
        <x:v>0.030755176613885507</x:v>
      </x:c>
      <x:c r="V187" s="44" t="n">
        <x:v>0.5429354445797807</x:v>
      </x:c>
      <x:c r="W187" s="44" t="n">
        <x:v>0.04202192448233861</x:v>
      </x:c>
      <x:c r="X187" s="44" t="n">
        <x:v>0.19397076735688185</x:v>
      </x:c>
      <x:c r="Y187" s="44" t="n">
        <x:v>0</x:v>
      </x:c>
      <x:c r="Z187" s="44" t="n">
        <x:v>0.8647058823529412</x:v>
      </x:c>
      <x:c r="AA187" s="45" t="n">
        <x:v>0.12352941176470589</x:v>
      </x:c>
      <x:c r="AB187" s="45" t="n">
        <x:v>0.8529411764705882</x:v>
      </x:c>
      <x:c r="AC187" s="45" t="n">
        <x:v>0.7588235294117647</x:v>
      </x:c>
      <x:c r="AD187" s="44" t="n">
        <x:v>0.7352941176470589</x:v>
      </x:c>
      <x:c r="AE187" s="44" t="n">
        <x:v>0.8588235294117648</x:v>
      </x:c>
      <x:c r="AF187" s="45" t="n">
        <x:v>0.4911764705882353</x:v>
      </x:c>
      <x:c r="AG187" s="45" t="n">
        <x:v>0.40196078431372545</x:v>
      </x:c>
      <x:c r="AH187" s="44" t="n">
        <x:v>0.3235294117647059</x:v>
      </x:c>
      <x:c r="AI187" s="44" t="n">
        <x:v>0.6176470588235294</x:v>
      </x:c>
      <x:c r="AJ187" s="45" t="n">
        <x:v>0.2647058823529412</x:v>
      </x:c>
      <x:c r="AK187" s="45" t="n">
        <x:v>0.4842592592592592</x:v>
      </x:c>
      <x:c r="AL187" s="45" t="n">
        <x:v>0.4591321713870733</x:v>
      </x:c>
      <x:c r="AM187" s="44" t="n">
        <x:v>0.44656862745098036</x:v>
      </x:c>
    </x:row>
    <x:row r="188" ht="15" hidden="0" customHeight="1">
      <x:c r="A188" s="44" t="str">
        <x:v>139-004</x:v>
      </x:c>
      <x:c r="B188" s="44" t="str">
        <x:v>Sirkap (fortified city)</x:v>
      </x:c>
      <x:c r="C188" s="44" t="n">
        <x:v>1000</x:v>
      </x:c>
      <x:c r="D188" s="44" t="str">
        <x:v>E2019</x:v>
      </x:c>
      <x:c r="E188" s="44" t="n">
        <x:v>2019</x:v>
      </x:c>
      <x:c r="F188" s="44" t="n">
        <x:v>3250</x:v>
      </x:c>
      <x:c r="G188" s="45" t="n">
        <x:v>0.3731158375740051</x:v>
      </x:c>
      <x:c r="H188" s="44" t="n">
        <x:v>0.2687408924102783</x:v>
      </x:c>
      <x:c r="I188" s="44" t="n">
        <x:v>0.5101567506790161</x:v>
      </x:c>
      <x:c r="J188" s="45" t="n">
        <x:v>-0.01778312772512436</x:v>
      </x:c>
      <x:c r="K188" s="44" t="n">
        <x:v>-0.1210414320230484</x:v>
      </x:c>
      <x:c r="L188" s="44" t="n">
        <x:v>0.04179698973894119</x:v>
      </x:c>
      <x:c r="M188" s="45" t="n">
        <x:v>-0.40502023696899414</x:v>
      </x:c>
      <x:c r="N188" s="44" t="n">
        <x:v>-0.4487000107765198</x:v>
      </x:c>
      <x:c r="O188" s="44" t="n">
        <x:v>-0.35632944107055664</x:v>
      </x:c>
      <x:c r="P188" s="45" t="n">
        <x:v>0.057408981025218964</x:v>
      </x:c>
      <x:c r="Q188" s="44" t="n">
        <x:v>-0.036883365362882614</x:v>
      </x:c>
      <x:c r="R188" s="44" t="n">
        <x:v>0.10921385884284973</x:v>
      </x:c>
      <x:c r="S188" s="44" t="n">
        <x:v>3250</x:v>
      </x:c>
      <x:c r="T188" s="44" t="n">
        <x:v>0.16</x:v>
      </x:c>
      <x:c r="U188" s="44" t="n">
        <x:v>0.01323076923076923</x:v>
      </x:c>
      <x:c r="V188" s="44" t="n">
        <x:v>0.5904615384615385</x:v>
      </x:c>
      <x:c r="W188" s="44" t="n">
        <x:v>0.06676923076923078</x:v>
      </x:c>
      <x:c r="X188" s="44" t="n">
        <x:v>0.16953846153846153</x:v>
      </x:c>
      <x:c r="Y188" s="44" t="n">
        <x:v>0</x:v>
      </x:c>
      <x:c r="Z188" s="44" t="n">
        <x:v>0.7</x:v>
      </x:c>
      <x:c r="AA188" s="45" t="n">
        <x:v>0.17058823529411765</x:v>
      </x:c>
      <x:c r="AB188" s="45" t="n">
        <x:v>0.7235294117647059</x:v>
      </x:c>
      <x:c r="AC188" s="45" t="n">
        <x:v>0.7352941176470589</x:v>
      </x:c>
      <x:c r="AD188" s="44" t="n">
        <x:v>0.6058823529411764</x:v>
      </x:c>
      <x:c r="AE188" s="44" t="n">
        <x:v>0.7117647058823529</x:v>
      </x:c>
      <x:c r="AF188" s="45" t="n">
        <x:v>0.4411764705882353</x:v>
      </x:c>
      <x:c r="AG188" s="45" t="n">
        <x:v>0.40196078431372545</x:v>
      </x:c>
      <x:c r="AH188" s="44" t="n">
        <x:v>0.3235294117647059</x:v>
      </x:c>
      <x:c r="AI188" s="44" t="n">
        <x:v>0.6176470588235294</x:v>
      </x:c>
      <x:c r="AJ188" s="45" t="n">
        <x:v>0.2647058823529412</x:v>
      </x:c>
      <x:c r="AK188" s="45" t="n">
        <x:v>0.3138888888888889</x:v>
      </x:c>
      <x:c r="AL188" s="45" t="n">
        <x:v>0.3856753812636165</x:v>
      </x:c>
      <x:c r="AM188" s="44" t="n">
        <x:v>0.42156862745098034</x:v>
      </x:c>
    </x:row>
    <x:row r="189" ht="15" hidden="0" customHeight="1">
      <x:c r="A189" s="44" t="str">
        <x:v>139-004</x:v>
      </x:c>
      <x:c r="B189" s="44" t="str">
        <x:v>Sirkap (fortified city)</x:v>
      </x:c>
      <x:c r="C189" s="44" t="n">
        <x:v>1000</x:v>
      </x:c>
      <x:c r="D189" s="44" t="str">
        <x:v>E2024</x:v>
      </x:c>
      <x:c r="E189" s="44" t="n">
        <x:v>2024</x:v>
      </x:c>
      <x:c r="F189" s="44" t="n">
        <x:v>3447</x:v>
      </x:c>
      <x:c r="G189" s="45" t="n">
        <x:v>0.4140927791595459</x:v>
      </x:c>
      <x:c r="H189" s="44" t="n">
        <x:v>0.26721274852752686</x:v>
      </x:c>
      <x:c r="I189" s="44" t="n">
        <x:v>0.5643762350082397</x:v>
      </x:c>
      <x:c r="J189" s="45" t="n">
        <x:v>-0.044699084013700485</x:v>
      </x:c>
      <x:c r="K189" s="44" t="n">
        <x:v>-0.1550556868314743</x:v>
      </x:c>
      <x:c r="L189" s="44" t="n">
        <x:v>0.043472472578287125</x:v>
      </x:c>
      <x:c r="M189" s="45" t="n">
        <x:v>-0.41220730543136597</x:v>
      </x:c>
      <x:c r="N189" s="44" t="n">
        <x:v>-0.4562082886695862</x:v>
      </x:c>
      <x:c r="O189" s="44" t="n">
        <x:v>-0.35252922773361206</x:v>
      </x:c>
      <x:c r="P189" s="45" t="n">
        <x:v>0.03234487026929855</x:v>
      </x:c>
      <x:c r="Q189" s="44" t="n">
        <x:v>-0.07190527021884918</x:v>
      </x:c>
      <x:c r="R189" s="44" t="n">
        <x:v>0.10912677645683289</x:v>
      </x:c>
      <x:c r="S189" s="44" t="n">
        <x:v>3447</x:v>
      </x:c>
      <x:c r="T189" s="44" t="n">
        <x:v>0.16391064693936758</x:v>
      </x:c>
      <x:c r="U189" s="44" t="n">
        <x:v>0.00899332753118654</x:v>
      </x:c>
      <x:c r="V189" s="44" t="n">
        <x:v>0.5030461270670148</x:v>
      </x:c>
      <x:c r="W189" s="44" t="n">
        <x:v>0.13548012764722947</x:v>
      </x:c>
      <x:c r="X189" s="44" t="n">
        <x:v>0.18856977081520163</x:v>
      </x:c>
      <x:c r="Y189" s="44" t="n">
        <x:v>0</x:v>
      </x:c>
      <x:c r="Z189" s="44" t="n">
        <x:v>0.4647058823529412</x:v>
      </x:c>
      <x:c r="AA189" s="45" t="n">
        <x:v>0.3</x:v>
      </x:c>
      <x:c r="AB189" s="45" t="n">
        <x:v>0.48823529411764705</x:v>
      </x:c>
      <x:c r="AC189" s="45" t="n">
        <x:v>0.7470588235294118</x:v>
      </x:c>
      <x:c r="AD189" s="44" t="n">
        <x:v>0.48823529411764705</x:v>
      </x:c>
      <x:c r="AE189" s="44" t="n">
        <x:v>0.4764705882352941</x:v>
      </x:c>
      <x:c r="AF189" s="45" t="n">
        <x:v>0.388235294117647</x:v>
      </x:c>
      <x:c r="AG189" s="45" t="n">
        <x:v>0.40196078431372545</x:v>
      </x:c>
      <x:c r="AH189" s="44" t="n">
        <x:v>0.3235294117647059</x:v>
      </x:c>
      <x:c r="AI189" s="44" t="n">
        <x:v>0.6176470588235294</x:v>
      </x:c>
      <x:c r="AJ189" s="45" t="n">
        <x:v>0.2647058823529412</x:v>
      </x:c>
      <x:c r="AK189" s="45" t="n">
        <x:v>0.5259259259259259</x:v>
      </x:c>
      <x:c r="AL189" s="45" t="n">
        <x:v>0.4387073347857661</x:v>
      </x:c>
      <x:c r="AM189" s="44" t="n">
        <x:v>0.3950980392156862</x:v>
      </x:c>
    </x:row>
    <x:row r="190" ht="15" hidden="0" customHeight="1">
      <x:c r="A190" s="44" t="str">
        <x:v>139-005</x:v>
      </x:c>
      <x:c r="B190" s="44" t="str">
        <x:v>Sirsukh (fortified ruined city)</x:v>
      </x:c>
      <x:c r="C190" s="44" t="n">
        <x:v>1000</x:v>
      </x:c>
      <x:c r="D190" s="44" t="str">
        <x:v>E2004</x:v>
      </x:c>
      <x:c r="E190" s="44" t="n">
        <x:v>2004</x:v>
      </x:c>
      <x:c r="F190" s="44" t="n">
        <x:v>3493</x:v>
      </x:c>
      <x:c r="G190" s="45" t="n">
        <x:v>0.43103763461112976</x:v>
      </x:c>
      <x:c r="H190" s="44" t="n">
        <x:v>0.3521042764186859</x:v>
      </x:c>
      <x:c r="I190" s="44" t="n">
        <x:v>0.5129713416099548</x:v>
      </x:c>
      <x:c r="J190" s="45" t="n">
        <x:v>-0.06712070107460022</x:v>
      </x:c>
      <x:c r="K190" s="44" t="n">
        <x:v>-0.13995973765850067</x:v>
      </x:c>
      <x:c r="L190" s="44" t="n">
        <x:v>0.0054587991908192635</x:v>
      </x:c>
      <x:c r="M190" s="45" t="n">
        <x:v>-0.42213645577430725</x:v>
      </x:c>
      <x:c r="N190" s="44" t="n">
        <x:v>-0.4471498727798462</x:v>
      </x:c>
      <x:c r="O190" s="44" t="n">
        <x:v>-0.39456096291542053</x:v>
      </x:c>
      <x:c r="P190" s="45" t="n">
        <x:v>0.015712251886725426</x:v>
      </x:c>
      <x:c r="Q190" s="44" t="n">
        <x:v>-0.052847735583782196</x:v>
      </x:c>
      <x:c r="R190" s="44" t="n">
        <x:v>0.08167896419763565</x:v>
      </x:c>
      <x:c r="S190" s="44" t="n">
        <x:v>3493</x:v>
      </x:c>
      <x:c r="T190" s="44" t="n">
        <x:v>0.016890924706555968</x:v>
      </x:c>
      <x:c r="U190" s="44" t="n">
        <x:v>0.0008588605782994561</x:v>
      </x:c>
      <x:c r="V190" s="44" t="n">
        <x:v>0.6879473232178643</x:v>
      </x:c>
      <x:c r="W190" s="44" t="n">
        <x:v>0.15030060120240482</x:v>
      </x:c>
      <x:c r="X190" s="44" t="n">
        <x:v>0.14400229029487546</x:v>
      </x:c>
      <x:c r="Y190" s="44" t="n">
        <x:v>0</x:v>
      </x:c>
      <x:c r="Z190" s="44" t="n">
        <x:v>0.40588235294117647</x:v>
      </x:c>
      <x:c r="AA190" s="45" t="n">
        <x:v>0.6647058823529411</x:v>
      </x:c>
      <x:c r="AB190" s="45" t="n">
        <x:v>0.4</x:v>
      </x:c>
      <x:c r="AC190" s="45" t="n">
        <x:v>0.07647058823529412</x:v>
      </x:c>
      <x:c r="AD190" s="44" t="n">
        <x:v>0.08823529411764706</x:v>
      </x:c>
      <x:c r="AE190" s="44" t="n">
        <x:v>0.40294117647058825</x:v>
      </x:c>
      <x:c r="AF190" s="45" t="n">
        <x:v>0.5338235294117647</x:v>
      </x:c>
      <x:c r="AG190" s="45" t="n">
        <x:v>0.41176470588235287</x:v>
      </x:c>
      <x:c r="AH190" s="44" t="n">
        <x:v>0.11764705882352941</x:v>
      </x:c>
      <x:c r="AI190" s="44" t="n">
        <x:v>0.9117647058823529</x:v>
      </x:c>
      <x:c r="AJ190" s="45" t="n">
        <x:v>0.20588235294117646</x:v>
      </x:c>
      <x:c r="AK190" s="45" t="n">
        <x:v>0.5166666666666666</x:v>
      </x:c>
      <x:c r="AL190" s="45" t="n">
        <x:v>0.48741830065359476</x:v>
      </x:c>
      <x:c r="AM190" s="44" t="n">
        <x:v>0.4727941176470588</x:v>
      </x:c>
    </x:row>
    <x:row r="191" ht="15" hidden="0" customHeight="1">
      <x:c r="A191" s="44" t="str">
        <x:v>139-005</x:v>
      </x:c>
      <x:c r="B191" s="44" t="str">
        <x:v>Sirsukh (fortified ruined city)</x:v>
      </x:c>
      <x:c r="C191" s="44" t="n">
        <x:v>1000</x:v>
      </x:c>
      <x:c r="D191" s="44" t="str">
        <x:v>E2009</x:v>
      </x:c>
      <x:c r="E191" s="44" t="n">
        <x:v>2009</x:v>
      </x:c>
      <x:c r="F191" s="44" t="n">
        <x:v>3493</x:v>
      </x:c>
      <x:c r="G191" s="45" t="n">
        <x:v>0.4241166114807129</x:v>
      </x:c>
      <x:c r="H191" s="44" t="n">
        <x:v>0.33896392583847046</x:v>
      </x:c>
      <x:c r="I191" s="44" t="n">
        <x:v>0.5105053186416626</x:v>
      </x:c>
      <x:c r="J191" s="45" t="n">
        <x:v>-0.061858173459768295</x:v>
      </x:c>
      <x:c r="K191" s="44" t="n">
        <x:v>-0.13101080060005188</x:v>
      </x:c>
      <x:c r="L191" s="44" t="n">
        <x:v>0.006171044427901506</x:v>
      </x:c>
      <x:c r="M191" s="45" t="n">
        <x:v>-0.419073224067688</x:v>
      </x:c>
      <x:c r="N191" s="44" t="n">
        <x:v>-0.44290339946746826</x:v>
      </x:c>
      <x:c r="O191" s="44" t="n">
        <x:v>-0.39173272252082825</x:v>
      </x:c>
      <x:c r="P191" s="45" t="n">
        <x:v>0.01637996733188629</x:v>
      </x:c>
      <x:c r="Q191" s="44" t="n">
        <x:v>-0.05209023505449295</x:v>
      </x:c>
      <x:c r="R191" s="44" t="n">
        <x:v>0.08110404759645462</x:v>
      </x:c>
      <x:c r="S191" s="44" t="n">
        <x:v>3493</x:v>
      </x:c>
      <x:c r="T191" s="44" t="n">
        <x:v>0.03435442313197824</x:v>
      </x:c>
      <x:c r="U191" s="44" t="n">
        <x:v>0.000286286859433152</x:v>
      </x:c>
      <x:c r="V191" s="44" t="n">
        <x:v>0.762668193529917</x:v>
      </x:c>
      <x:c r="W191" s="44" t="n">
        <x:v>0.11079301460062983</x:v>
      </x:c>
      <x:c r="X191" s="44" t="n">
        <x:v>0.0918980818780418</x:v>
      </x:c>
      <x:c r="Y191" s="44" t="n">
        <x:v>0</x:v>
      </x:c>
      <x:c r="Z191" s="44" t="n">
        <x:v>0.4411764705882353</x:v>
      </x:c>
      <x:c r="AA191" s="45" t="n">
        <x:v>0.5588235294117647</x:v>
      </x:c>
      <x:c r="AB191" s="45" t="n">
        <x:v>0.4294117647058823</x:v>
      </x:c>
      <x:c r="AC191" s="45" t="n">
        <x:v>0.12352941176470589</x:v>
      </x:c>
      <x:c r="AD191" s="44" t="n">
        <x:v>0.01764705882352941</x:v>
      </x:c>
      <x:c r="AE191" s="44" t="n">
        <x:v>0.43529411764705883</x:v>
      </x:c>
      <x:c r="AF191" s="45" t="n">
        <x:v>0.4970588235294118</x:v>
      </x:c>
      <x:c r="AG191" s="45" t="n">
        <x:v>0.41176470588235287</x:v>
      </x:c>
      <x:c r="AH191" s="44" t="n">
        <x:v>0.11764705882352941</x:v>
      </x:c>
      <x:c r="AI191" s="44" t="n">
        <x:v>0.9117647058823529</x:v>
      </x:c>
      <x:c r="AJ191" s="45" t="n">
        <x:v>0.20588235294117646</x:v>
      </x:c>
      <x:c r="AK191" s="45" t="n">
        <x:v>0.462037037037037</x:v>
      </x:c>
      <x:c r="AL191" s="45" t="n">
        <x:v>0.45695352214960056</x:v>
      </x:c>
      <x:c r="AM191" s="44" t="n">
        <x:v>0.4544117647058823</x:v>
      </x:c>
    </x:row>
    <x:row r="192" ht="15" hidden="0" customHeight="1">
      <x:c r="A192" s="44" t="str">
        <x:v>139-005</x:v>
      </x:c>
      <x:c r="B192" s="44" t="str">
        <x:v>Sirsukh (fortified ruined city)</x:v>
      </x:c>
      <x:c r="C192" s="44" t="n">
        <x:v>1000</x:v>
      </x:c>
      <x:c r="D192" s="44" t="str">
        <x:v>E2014</x:v>
      </x:c>
      <x:c r="E192" s="44" t="n">
        <x:v>2014</x:v>
      </x:c>
      <x:c r="F192" s="44" t="n">
        <x:v>3489</x:v>
      </x:c>
      <x:c r="G192" s="45" t="n">
        <x:v>0.4670295715332031</x:v>
      </x:c>
      <x:c r="H192" s="44" t="n">
        <x:v>0.3154411017894745</x:v>
      </x:c>
      <x:c r="I192" s="44" t="n">
        <x:v>0.6548700928688049</x:v>
      </x:c>
      <x:c r="J192" s="45" t="n">
        <x:v>-0.0812332034111023</x:v>
      </x:c>
      <x:c r="K192" s="44" t="n">
        <x:v>-0.2536609470844269</x:v>
      </x:c>
      <x:c r="L192" s="44" t="n">
        <x:v>0.025361841544508934</x:v>
      </x:c>
      <x:c r="M192" s="45" t="n">
        <x:v>-0.4211428463459015</x:v>
      </x:c>
      <x:c r="N192" s="44" t="n">
        <x:v>-0.44714561104774475</x:v>
      </x:c>
      <x:c r="O192" s="44" t="n">
        <x:v>-0.38845953345298767</x:v>
      </x:c>
      <x:c r="P192" s="45" t="n">
        <x:v>-0.0010962990345433354</x:v>
      </x:c>
      <x:c r="Q192" s="44" t="n">
        <x:v>-0.16642700135707855</x:v>
      </x:c>
      <x:c r="R192" s="44" t="n">
        <x:v>0.09580346941947937</x:v>
      </x:c>
      <x:c r="S192" s="44" t="n">
        <x:v>3489</x:v>
      </x:c>
      <x:c r="T192" s="44" t="n">
        <x:v>0.07967899111493265</x:v>
      </x:c>
      <x:c r="U192" s="44" t="n">
        <x:v>0.005732301519059902</x:v>
      </x:c>
      <x:c r="V192" s="44" t="n">
        <x:v>0.4373746059042706</x:v>
      </x:c>
      <x:c r="W192" s="44" t="n">
        <x:v>0.35339638865004297</x:v>
      </x:c>
      <x:c r="X192" s="44" t="n">
        <x:v>0.12381771281169389</x:v>
      </x:c>
      <x:c r="Y192" s="44" t="n">
        <x:v>0</x:v>
      </x:c>
      <x:c r="Z192" s="44" t="n">
        <x:v>0.3</x:v>
      </x:c>
      <x:c r="AA192" s="45" t="n">
        <x:v>0.6058823529411764</x:v>
      </x:c>
      <x:c r="AB192" s="45" t="n">
        <x:v>0.31176470588235294</x:v>
      </x:c>
      <x:c r="AC192" s="45" t="n">
        <x:v>0.4294117647058823</x:v>
      </x:c>
      <x:c r="AD192" s="44" t="n">
        <x:v>0.34705882352941175</x:v>
      </x:c>
      <x:c r="AE192" s="44" t="n">
        <x:v>0.3058823529411765</x:v>
      </x:c>
      <x:c r="AF192" s="45" t="n">
        <x:v>0.45588235294117646</x:v>
      </x:c>
      <x:c r="AG192" s="45" t="n">
        <x:v>0.41176470588235287</x:v>
      </x:c>
      <x:c r="AH192" s="44" t="n">
        <x:v>0.11764705882352941</x:v>
      </x:c>
      <x:c r="AI192" s="44" t="n">
        <x:v>0.9117647058823529</x:v>
      </x:c>
      <x:c r="AJ192" s="45" t="n">
        <x:v>0.20588235294117646</x:v>
      </x:c>
      <x:c r="AK192" s="45" t="n">
        <x:v>0.4842592592592592</x:v>
      </x:c>
      <x:c r="AL192" s="45" t="n">
        <x:v>0.45063543936092954</x:v>
      </x:c>
      <x:c r="AM192" s="44" t="n">
        <x:v>0.43382352941176466</x:v>
      </x:c>
    </x:row>
    <x:row r="193" ht="15" hidden="0" customHeight="1">
      <x:c r="A193" s="44" t="str">
        <x:v>139-005</x:v>
      </x:c>
      <x:c r="B193" s="44" t="str">
        <x:v>Sirsukh (fortified ruined city)</x:v>
      </x:c>
      <x:c r="C193" s="44" t="n">
        <x:v>1000</x:v>
      </x:c>
      <x:c r="D193" s="44" t="str">
        <x:v>E2019</x:v>
      </x:c>
      <x:c r="E193" s="44" t="n">
        <x:v>2019</x:v>
      </x:c>
      <x:c r="F193" s="44" t="n">
        <x:v>3443</x:v>
      </x:c>
      <x:c r="G193" s="45" t="n">
        <x:v>0.4796431064605713</x:v>
      </x:c>
      <x:c r="H193" s="44" t="n">
        <x:v>0.34326210618019104</x:v>
      </x:c>
      <x:c r="I193" s="44" t="n">
        <x:v>0.6211864948272705</x:v>
      </x:c>
      <x:c r="J193" s="45" t="n">
        <x:v>-0.1144513264298439</x:v>
      </x:c>
      <x:c r="K193" s="44" t="n">
        <x:v>-0.24473340809345245</x:v>
      </x:c>
      <x:c r="L193" s="44" t="n">
        <x:v>-0.010263005271553993</x:v>
      </x:c>
      <x:c r="M193" s="45" t="n">
        <x:v>-0.4087499976158142</x:v>
      </x:c>
      <x:c r="N193" s="44" t="n">
        <x:v>-0.43500059843063354</x:v>
      </x:c>
      <x:c r="O193" s="44" t="n">
        <x:v>-0.36439958214759827</x:v>
      </x:c>
      <x:c r="P193" s="45" t="n">
        <x:v>-0.02314854972064495</x:v>
      </x:c>
      <x:c r="Q193" s="44" t="n">
        <x:v>-0.1511377990245819</x:v>
      </x:c>
      <x:c r="R193" s="44" t="n">
        <x:v>0.06679093837738037</x:v>
      </x:c>
      <x:c r="S193" s="44" t="n">
        <x:v>3443</x:v>
      </x:c>
      <x:c r="T193" s="44" t="n">
        <x:v>0.10891664246296834</x:v>
      </x:c>
      <x:c r="U193" s="44" t="n">
        <x:v>0.0002904443799012489</x:v>
      </x:c>
      <x:c r="V193" s="44" t="n">
        <x:v>0.5088585535869881</x:v>
      </x:c>
      <x:c r="W193" s="44" t="n">
        <x:v>0.34156259076386875</x:v>
      </x:c>
      <x:c r="X193" s="44" t="n">
        <x:v>0.0403717688062736</x:v>
      </x:c>
      <x:c r="Y193" s="44" t="n">
        <x:v>0</x:v>
      </x:c>
      <x:c r="Z193" s="44" t="n">
        <x:v>0.2529411764705882</x:v>
      </x:c>
      <x:c r="AA193" s="45" t="n">
        <x:v>0.2411764705882353</x:v>
      </x:c>
      <x:c r="AB193" s="45" t="n">
        <x:v>0.18235294117647058</x:v>
      </x:c>
      <x:c r="AC193" s="45" t="n">
        <x:v>0.6294117647058823</x:v>
      </x:c>
      <x:c r="AD193" s="44" t="n">
        <x:v>0.029411764705882353</x:v>
      </x:c>
      <x:c r="AE193" s="44" t="n">
        <x:v>0.21764705882352942</x:v>
      </x:c>
      <x:c r="AF193" s="45" t="n">
        <x:v>0.22941176470588237</x:v>
      </x:c>
      <x:c r="AG193" s="45" t="n">
        <x:v>0.41176470588235287</x:v>
      </x:c>
      <x:c r="AH193" s="44" t="n">
        <x:v>0.11764705882352941</x:v>
      </x:c>
      <x:c r="AI193" s="44" t="n">
        <x:v>0.9117647058823529</x:v>
      </x:c>
      <x:c r="AJ193" s="45" t="n">
        <x:v>0.20588235294117646</x:v>
      </x:c>
      <x:c r="AK193" s="45" t="n">
        <x:v>0.3138888888888889</x:v>
      </x:c>
      <x:c r="AL193" s="45" t="n">
        <x:v>0.318355119825708</x:v>
      </x:c>
      <x:c r="AM193" s="44" t="n">
        <x:v>0.3205882352941176</x:v>
      </x:c>
    </x:row>
    <x:row r="194" ht="15" hidden="0" customHeight="1">
      <x:c r="A194" s="44" t="str">
        <x:v>139-005</x:v>
      </x:c>
      <x:c r="B194" s="44" t="str">
        <x:v>Sirsukh (fortified ruined city)</x:v>
      </x:c>
      <x:c r="C194" s="44" t="n">
        <x:v>1000</x:v>
      </x:c>
      <x:c r="D194" s="44" t="str">
        <x:v>E2024</x:v>
      </x:c>
      <x:c r="E194" s="44" t="n">
        <x:v>2024</x:v>
      </x:c>
      <x:c r="F194" s="44" t="n">
        <x:v>3490</x:v>
      </x:c>
      <x:c r="G194" s="45" t="n">
        <x:v>0.483761727809906</x:v>
      </x:c>
      <x:c r="H194" s="44" t="n">
        <x:v>0.352449506521225</x:v>
      </x:c>
      <x:c r="I194" s="44" t="n">
        <x:v>0.5996951460838318</x:v>
      </x:c>
      <x:c r="J194" s="45" t="n">
        <x:v>-0.094710573554039</x:v>
      </x:c>
      <x:c r="K194" s="44" t="n">
        <x:v>-0.18659856915473938</x:v>
      </x:c>
      <x:c r="L194" s="44" t="n">
        <x:v>-0.011583156883716583</x:v>
      </x:c>
      <x:c r="M194" s="45" t="n">
        <x:v>-0.43036699295043945</x:v>
      </x:c>
      <x:c r="N194" s="44" t="n">
        <x:v>-0.4629096984863281</x:v>
      </x:c>
      <x:c r="O194" s="44" t="n">
        <x:v>-0.3743016719818115</x:v>
      </x:c>
      <x:c r="P194" s="45" t="n">
        <x:v>-0.013408221304416656</x:v>
      </x:c>
      <x:c r="Q194" s="44" t="n">
        <x:v>-0.10212484002113342</x:v>
      </x:c>
      <x:c r="R194" s="44" t="n">
        <x:v>0.06267642974853516</x:v>
      </x:c>
      <x:c r="S194" s="44" t="n">
        <x:v>3490</x:v>
      </x:c>
      <x:c r="T194" s="44" t="n">
        <x:v>0.0836676217765043</x:v>
      </x:c>
      <x:c r="U194" s="44" t="n">
        <x:v>0.001146131805157593</x:v>
      </x:c>
      <x:c r="V194" s="44" t="n">
        <x:v>0.49083094555873924</x:v>
      </x:c>
      <x:c r="W194" s="44" t="n">
        <x:v>0.2842406876790831</x:v>
      </x:c>
      <x:c r="X194" s="44" t="n">
        <x:v>0.14011461318051577</x:v>
      </x:c>
      <x:c r="Y194" s="44" t="n">
        <x:v>0</x:v>
      </x:c>
      <x:c r="Z194" s="44" t="n">
        <x:v>0.2411764705882353</x:v>
      </x:c>
      <x:c r="AA194" s="45" t="n">
        <x:v>0.8647058823529412</x:v>
      </x:c>
      <x:c r="AB194" s="45" t="n">
        <x:v>0.2647058823529412</x:v>
      </x:c>
      <x:c r="AC194" s="45" t="n">
        <x:v>0.4764705882352941</x:v>
      </x:c>
      <x:c r="AD194" s="44" t="n">
        <x:v>0.1588235294117647</x:v>
      </x:c>
      <x:c r="AE194" s="44" t="n">
        <x:v>0.2529411764705882</x:v>
      </x:c>
      <x:c r="AF194" s="45" t="n">
        <x:v>0.5588235294117647</x:v>
      </x:c>
      <x:c r="AG194" s="45" t="n">
        <x:v>0.41176470588235287</x:v>
      </x:c>
      <x:c r="AH194" s="44" t="n">
        <x:v>0.11764705882352941</x:v>
      </x:c>
      <x:c r="AI194" s="44" t="n">
        <x:v>0.9117647058823529</x:v>
      </x:c>
      <x:c r="AJ194" s="45" t="n">
        <x:v>0.20588235294117646</x:v>
      </x:c>
      <x:c r="AK194" s="45" t="n">
        <x:v>0.5259259259259259</x:v>
      </x:c>
      <x:c r="AL194" s="45" t="n">
        <x:v>0.4988380537400145</x:v>
      </x:c>
      <x:c r="AM194" s="44" t="n">
        <x:v>0.48529411764705876</x:v>
      </x:c>
    </x:row>
    <x:row r="195" ht="15" hidden="0" customHeight="1">
      <x:c r="A195" s="44" t="str">
        <x:v>139-006</x:v>
      </x:c>
      <x:c r="B195" s="44" t="str">
        <x:v>Dharmarajika stupa and monastery</x:v>
      </x:c>
      <x:c r="C195" s="44" t="n">
        <x:v>1000</x:v>
      </x:c>
      <x:c r="D195" s="44" t="str">
        <x:v>E2004</x:v>
      </x:c>
      <x:c r="E195" s="44" t="n">
        <x:v>2004</x:v>
      </x:c>
      <x:c r="F195" s="44" t="n">
        <x:v>3494</x:v>
      </x:c>
      <x:c r="G195" s="45" t="n">
        <x:v>0.34345269203186035</x:v>
      </x:c>
      <x:c r="H195" s="44" t="n">
        <x:v>0.2637591063976288</x:v>
      </x:c>
      <x:c r="I195" s="44" t="n">
        <x:v>0.4501172602176666</x:v>
      </x:c>
      <x:c r="J195" s="45" t="n">
        <x:v>0.009694010019302368</x:v>
      </x:c>
      <x:c r="K195" s="44" t="n">
        <x:v>-0.08421320468187332</x:v>
      </x:c>
      <x:c r="L195" s="44" t="n">
        <x:v>0.05527495592832565</x:v>
      </x:c>
      <x:c r="M195" s="45" t="n">
        <x:v>-0.42752981185913086</x:v>
      </x:c>
      <x:c r="N195" s="44" t="n">
        <x:v>-0.46091488003730774</x:v>
      </x:c>
      <x:c r="O195" s="44" t="n">
        <x:v>-0.3891848027706146</x:v>
      </x:c>
      <x:c r="P195" s="45" t="n">
        <x:v>0.08798563480377197</x:v>
      </x:c>
      <x:c r="Q195" s="44" t="n">
        <x:v>-0.0014164808671921492</x:v>
      </x:c>
      <x:c r="R195" s="44" t="n">
        <x:v>0.13408006727695465</x:v>
      </x:c>
      <x:c r="S195" s="44" t="n">
        <x:v>3494</x:v>
      </x:c>
      <x:c r="T195" s="44" t="n">
        <x:v>0.04092730394962794</x:v>
      </x:c>
      <x:c r="U195" s="44" t="n">
        <x:v>0.04979965655409273</x:v>
      </x:c>
      <x:c r="V195" s="44" t="n">
        <x:v>0.5941614195764167</x:v>
      </x:c>
      <x:c r="W195" s="44" t="n">
        <x:v>0.04922724670864339</x:v>
      </x:c>
      <x:c r="X195" s="44" t="n">
        <x:v>0.2658843732112192</x:v>
      </x:c>
      <x:c r="Y195" s="44" t="n">
        <x:v>0</x:v>
      </x:c>
      <x:c r="Z195" s="44" t="n">
        <x:v>0.8058823529411765</x:v>
      </x:c>
      <x:c r="AA195" s="45" t="n">
        <x:v>0.8058823529411765</x:v>
      </x:c>
      <x:c r="AB195" s="45" t="n">
        <x:v>0.888235294117647</x:v>
      </x:c>
      <x:c r="AC195" s="45" t="n">
        <x:v>0.17058823529411765</x:v>
      </x:c>
      <x:c r="AD195" s="44" t="n">
        <x:v>0.8294117647058824</x:v>
      </x:c>
      <x:c r="AE195" s="44" t="n">
        <x:v>0.8470588235294118</x:v>
      </x:c>
      <x:c r="AF195" s="45" t="n">
        <x:v>0.8264705882352941</x:v>
      </x:c>
      <x:c r="AG195" s="45" t="n">
        <x:v>0.4803921568627451</x:v>
      </x:c>
      <x:c r="AH195" s="44" t="n">
        <x:v>0.4411764705882353</x:v>
      </x:c>
      <x:c r="AI195" s="44" t="n">
        <x:v>0.4411764705882353</x:v>
      </x:c>
      <x:c r="AJ195" s="45" t="n">
        <x:v>0.5588235294117647</x:v>
      </x:c>
      <x:c r="AK195" s="45" t="n">
        <x:v>0.5166666666666666</x:v>
      </x:c>
      <x:c r="AL195" s="45" t="n">
        <x:v>0.6078431372549019</x:v>
      </x:c>
      <x:c r="AM195" s="44" t="n">
        <x:v>0.6534313725490196</x:v>
      </x:c>
    </x:row>
    <x:row r="196" ht="15" hidden="0" customHeight="1">
      <x:c r="A196" s="44" t="str">
        <x:v>139-006</x:v>
      </x:c>
      <x:c r="B196" s="44" t="str">
        <x:v>Dharmarajika stupa and monastery</x:v>
      </x:c>
      <x:c r="C196" s="44" t="n">
        <x:v>1000</x:v>
      </x:c>
      <x:c r="D196" s="44" t="str">
        <x:v>E2009</x:v>
      </x:c>
      <x:c r="E196" s="44" t="n">
        <x:v>2009</x:v>
      </x:c>
      <x:c r="F196" s="44" t="n">
        <x:v>3494</x:v>
      </x:c>
      <x:c r="G196" s="45" t="n">
        <x:v>0.32239192724227905</x:v>
      </x:c>
      <x:c r="H196" s="44" t="n">
        <x:v>0.25013983249664307</x:v>
      </x:c>
      <x:c r="I196" s="44" t="n">
        <x:v>0.43540021777153015</x:v>
      </x:c>
      <x:c r="J196" s="45" t="n">
        <x:v>0.01903623901307583</x:v>
      </x:c>
      <x:c r="K196" s="44" t="n">
        <x:v>-0.08292295038700104</x:v>
      </x:c>
      <x:c r="L196" s="44" t="n">
        <x:v>0.05828172340989113</x:v>
      </x:c>
      <x:c r="M196" s="45" t="n">
        <x:v>-0.41481876373291016</x:v>
      </x:c>
      <x:c r="N196" s="44" t="n">
        <x:v>-0.4537185728549957</x:v>
      </x:c>
      <x:c r="O196" s="44" t="n">
        <x:v>-0.3806803226470947</x:v>
      </x:c>
      <x:c r="P196" s="45" t="n">
        <x:v>0.09419767558574677</x:v>
      </x:c>
      <x:c r="Q196" s="44" t="n">
        <x:v>-0.0011716666631400585</x:v>
      </x:c>
      <x:c r="R196" s="44" t="n">
        <x:v>0.13294413685798645</x:v>
      </x:c>
      <x:c r="S196" s="44" t="n">
        <x:v>3494</x:v>
      </x:c>
      <x:c r="T196" s="44" t="n">
        <x:v>0.07784773898111047</x:v>
      </x:c>
      <x:c r="U196" s="44" t="n">
        <x:v>0.10646823125357756</x:v>
      </x:c>
      <x:c r="V196" s="44" t="n">
        <x:v>0.5206067544361763</x:v>
      </x:c>
      <x:c r="W196" s="44" t="n">
        <x:v>0.031482541499713794</x:v>
      </x:c>
      <x:c r="X196" s="44" t="n">
        <x:v>0.2635947338294219</x:v>
      </x:c>
      <x:c r="Y196" s="44" t="n">
        <x:v>0</x:v>
      </x:c>
      <x:c r="Z196" s="44" t="n">
        <x:v>0.9235294117647059</x:v>
      </x:c>
      <x:c r="AA196" s="45" t="n">
        <x:v>0.38235294117647056</x:v>
      </x:c>
      <x:c r="AB196" s="45" t="n">
        <x:v>0.9823529411764705</x:v>
      </x:c>
      <x:c r="AC196" s="45" t="n">
        <x:v>0.40588235294117647</x:v>
      </x:c>
      <x:c r="AD196" s="44" t="n">
        <x:v>0.9588235294117647</x:v>
      </x:c>
      <x:c r="AE196" s="44" t="n">
        <x:v>0.9529411764705882</x:v>
      </x:c>
      <x:c r="AF196" s="45" t="n">
        <x:v>0.6676470588235294</x:v>
      </x:c>
      <x:c r="AG196" s="45" t="n">
        <x:v>0.4803921568627451</x:v>
      </x:c>
      <x:c r="AH196" s="44" t="n">
        <x:v>0.4411764705882353</x:v>
      </x:c>
      <x:c r="AI196" s="44" t="n">
        <x:v>0.4411764705882353</x:v>
      </x:c>
      <x:c r="AJ196" s="45" t="n">
        <x:v>0.5588235294117647</x:v>
      </x:c>
      <x:c r="AK196" s="45" t="n">
        <x:v>0.462037037037037</x:v>
      </x:c>
      <x:c r="AL196" s="45" t="n">
        <x:v>0.5366920842411038</x:v>
      </x:c>
      <x:c r="AM196" s="44" t="n">
        <x:v>0.5740196078431372</x:v>
      </x:c>
    </x:row>
    <x:row r="197" ht="15" hidden="0" customHeight="1">
      <x:c r="A197" s="44" t="str">
        <x:v>139-006</x:v>
      </x:c>
      <x:c r="B197" s="44" t="str">
        <x:v>Dharmarajika stupa and monastery</x:v>
      </x:c>
      <x:c r="C197" s="44" t="n">
        <x:v>1000</x:v>
      </x:c>
      <x:c r="D197" s="44" t="str">
        <x:v>E2014</x:v>
      </x:c>
      <x:c r="E197" s="44" t="n">
        <x:v>2014</x:v>
      </x:c>
      <x:c r="F197" s="44" t="n">
        <x:v>3492</x:v>
      </x:c>
      <x:c r="G197" s="45" t="n">
        <x:v>0.35639357566833496</x:v>
      </x:c>
      <x:c r="H197" s="44" t="n">
        <x:v>0.2560325860977173</x:v>
      </x:c>
      <x:c r="I197" s="44" t="n">
        <x:v>0.5449833273887634</x:v>
      </x:c>
      <x:c r="J197" s="45" t="n">
        <x:v>0.0037453609984368086</x:v>
      </x:c>
      <x:c r="K197" s="44" t="n">
        <x:v>-0.1291740983724594</x:v>
      </x:c>
      <x:c r="L197" s="44" t="n">
        <x:v>0.05549229308962822</x:v>
      </x:c>
      <x:c r="M197" s="45" t="n">
        <x:v>-0.418073445558548</x:v>
      </x:c>
      <x:c r="N197" s="44" t="n">
        <x:v>-0.46971726417541504</x:v>
      </x:c>
      <x:c r="O197" s="44" t="n">
        <x:v>-0.3669232130050659</x:v>
      </x:c>
      <x:c r="P197" s="45" t="n">
        <x:v>0.07728008925914764</x:v>
      </x:c>
      <x:c r="Q197" s="44" t="n">
        <x:v>-0.049399469047784805</x:v>
      </x:c>
      <x:c r="R197" s="44" t="n">
        <x:v>0.12218033522367477</x:v>
      </x:c>
      <x:c r="S197" s="44" t="n">
        <x:v>3492</x:v>
      </x:c>
      <x:c r="T197" s="44" t="n">
        <x:v>0.09221076746849943</x:v>
      </x:c>
      <x:c r="U197" s="44" t="n">
        <x:v>0.037800687285223365</x:v>
      </x:c>
      <x:c r="V197" s="44" t="n">
        <x:v>0.4699312714776632</x:v>
      </x:c>
      <x:c r="W197" s="44" t="n">
        <x:v>0.1036655211912944</x:v>
      </x:c>
      <x:c r="X197" s="44" t="n">
        <x:v>0.2963917525773196</x:v>
      </x:c>
      <x:c r="Y197" s="44" t="n">
        <x:v>0</x:v>
      </x:c>
      <x:c r="Z197" s="44" t="n">
        <x:v>0.7235294117647059</x:v>
      </x:c>
      <x:c r="AA197" s="45" t="n">
        <x:v>0.5117647058823529</x:v>
      </x:c>
      <x:c r="AB197" s="45" t="n">
        <x:v>0.8058823529411765</x:v>
      </x:c>
      <x:c r="AC197" s="45" t="n">
        <x:v>0.5470588235294118</x:v>
      </x:c>
      <x:c r="AD197" s="44" t="n">
        <x:v>0.7823529411764706</x:v>
      </x:c>
      <x:c r="AE197" s="44" t="n">
        <x:v>0.7647058823529411</x:v>
      </x:c>
      <x:c r="AF197" s="45" t="n">
        <x:v>0.638235294117647</x:v>
      </x:c>
      <x:c r="AG197" s="45" t="n">
        <x:v>0.4803921568627451</x:v>
      </x:c>
      <x:c r="AH197" s="44" t="n">
        <x:v>0.4411764705882353</x:v>
      </x:c>
      <x:c r="AI197" s="44" t="n">
        <x:v>0.4411764705882353</x:v>
      </x:c>
      <x:c r="AJ197" s="45" t="n">
        <x:v>0.5588235294117647</x:v>
      </x:c>
      <x:c r="AK197" s="45" t="n">
        <x:v>0.4842592592592592</x:v>
      </x:c>
      <x:c r="AL197" s="45" t="n">
        <x:v>0.5342955700798838</x:v>
      </x:c>
      <x:c r="AM197" s="44" t="n">
        <x:v>0.5593137254901961</x:v>
      </x:c>
    </x:row>
    <x:row r="198" ht="15" hidden="0" customHeight="1">
      <x:c r="A198" s="44" t="str">
        <x:v>139-006</x:v>
      </x:c>
      <x:c r="B198" s="44" t="str">
        <x:v>Dharmarajika stupa and monastery</x:v>
      </x:c>
      <x:c r="C198" s="44" t="n">
        <x:v>1000</x:v>
      </x:c>
      <x:c r="D198" s="44" t="str">
        <x:v>E2019</x:v>
      </x:c>
      <x:c r="E198" s="44" t="n">
        <x:v>2019</x:v>
      </x:c>
      <x:c r="F198" s="44" t="n">
        <x:v>3492</x:v>
      </x:c>
      <x:c r="G198" s="45" t="n">
        <x:v>0.3998904824256897</x:v>
      </x:c>
      <x:c r="H198" s="44" t="n">
        <x:v>0.29959291219711304</x:v>
      </x:c>
      <x:c r="I198" s="44" t="n">
        <x:v>0.5686612725257874</x:v>
      </x:c>
      <x:c r="J198" s="45" t="n">
        <x:v>-0.026946747675538063</x:v>
      </x:c>
      <x:c r="K198" s="44" t="n">
        <x:v>-0.15193994343280792</x:v>
      </x:c>
      <x:c r="L198" s="44" t="n">
        <x:v>0.0246222335845232</x:v>
      </x:c>
      <x:c r="M198" s="45" t="n">
        <x:v>-0.4221200942993164</x:v>
      </x:c>
      <x:c r="N198" s="44" t="n">
        <x:v>-0.46988674998283386</x:v>
      </x:c>
      <x:c r="O198" s="44" t="n">
        <x:v>-0.37569719552993774</x:v>
      </x:c>
      <x:c r="P198" s="45" t="n">
        <x:v>0.04978296905755997</x:v>
      </x:c>
      <x:c r="Q198" s="44" t="n">
        <x:v>-0.07702422887086868</x:v>
      </x:c>
      <x:c r="R198" s="44" t="n">
        <x:v>0.09831956773996353</x:v>
      </x:c>
      <x:c r="S198" s="44" t="n">
        <x:v>3492</x:v>
      </x:c>
      <x:c r="T198" s="44" t="n">
        <x:v>0.07101947308132875</x:v>
      </x:c>
      <x:c r="U198" s="44" t="n">
        <x:v>0.001145475372279496</x:v>
      </x:c>
      <x:c r="V198" s="44" t="n">
        <x:v>0.4968499427262314</x:v>
      </x:c>
      <x:c r="W198" s="44" t="n">
        <x:v>0.14948453608247422</x:v>
      </x:c>
      <x:c r="X198" s="44" t="n">
        <x:v>0.28150057273768614</x:v>
      </x:c>
      <x:c r="Y198" s="44" t="n">
        <x:v>0</x:v>
      </x:c>
      <x:c r="Z198" s="44" t="n">
        <x:v>0.5117647058823529</x:v>
      </x:c>
      <x:c r="AA198" s="45" t="n">
        <x:v>0.6529411764705882</x:v>
      </x:c>
      <x:c r="AB198" s="45" t="n">
        <x:v>0.6176470588235294</x:v>
      </x:c>
      <x:c r="AC198" s="45" t="n">
        <x:v>0.37058823529411766</x:v>
      </x:c>
      <x:c r="AD198" s="44" t="n">
        <x:v>0.14705882352941177</x:v>
      </x:c>
      <x:c r="AE198" s="44" t="n">
        <x:v>0.5647058823529412</x:v>
      </x:c>
      <x:c r="AF198" s="45" t="n">
        <x:v>0.6088235294117648</x:v>
      </x:c>
      <x:c r="AG198" s="45" t="n">
        <x:v>0.4803921568627451</x:v>
      </x:c>
      <x:c r="AH198" s="44" t="n">
        <x:v>0.4411764705882353</x:v>
      </x:c>
      <x:c r="AI198" s="44" t="n">
        <x:v>0.4411764705882353</x:v>
      </x:c>
      <x:c r="AJ198" s="45" t="n">
        <x:v>0.5588235294117647</x:v>
      </x:c>
      <x:c r="AK198" s="45" t="n">
        <x:v>0.3138888888888889</x:v>
      </x:c>
      <x:c r="AL198" s="45" t="n">
        <x:v>0.46770152505446627</x:v>
      </x:c>
      <x:c r="AM198" s="44" t="n">
        <x:v>0.544607843137255</x:v>
      </x:c>
    </x:row>
    <x:row r="199" ht="15" hidden="0" customHeight="1">
      <x:c r="A199" s="44" t="str">
        <x:v>139-006</x:v>
      </x:c>
      <x:c r="B199" s="44" t="str">
        <x:v>Dharmarajika stupa and monastery</x:v>
      </x:c>
      <x:c r="C199" s="44" t="n">
        <x:v>1000</x:v>
      </x:c>
      <x:c r="D199" s="44" t="str">
        <x:v>E2024</x:v>
      </x:c>
      <x:c r="E199" s="44" t="n">
        <x:v>2024</x:v>
      </x:c>
      <x:c r="F199" s="44" t="n">
        <x:v>3494</x:v>
      </x:c>
      <x:c r="G199" s="45" t="n">
        <x:v>0.47806939482688904</x:v>
      </x:c>
      <x:c r="H199" s="44" t="n">
        <x:v>0.31492310762405396</x:v>
      </x:c>
      <x:c r="I199" s="44" t="n">
        <x:v>0.6335634589195251</x:v>
      </x:c>
      <x:c r="J199" s="45" t="n">
        <x:v>-0.08120421320199966</x:v>
      </x:c>
      <x:c r="K199" s="44" t="n">
        <x:v>-0.2142723798751831</x:v>
      </x:c>
      <x:c r="L199" s="44" t="n">
        <x:v>0.010563517920672894</x:v>
      </x:c>
      <x:c r="M199" s="45" t="n">
        <x:v>-0.43302881717681885</x:v>
      </x:c>
      <x:c r="N199" s="44" t="n">
        <x:v>-0.4833880066871643</x:v>
      </x:c>
      <x:c r="O199" s="44" t="n">
        <x:v>-0.3843945860862732</x:v>
      </x:c>
      <x:c r="P199" s="45" t="n">
        <x:v>-0.0007244333392009139</x:v>
      </x:c>
      <x:c r="Q199" s="44" t="n">
        <x:v>-0.13384507596492767</x:v>
      </x:c>
      <x:c r="R199" s="44" t="n">
        <x:v>0.08614838868379593</x:v>
      </x:c>
      <x:c r="S199" s="44" t="n">
        <x:v>3494</x:v>
      </x:c>
      <x:c r="T199" s="44" t="n">
        <x:v>0.04493417286777333</x:v>
      </x:c>
      <x:c r="U199" s="44" t="n">
        <x:v>0.007155123068116772</x:v>
      </x:c>
      <x:c r="V199" s="44" t="n">
        <x:v>0.38494562106468233</x:v>
      </x:c>
      <x:c r="W199" s="44" t="n">
        <x:v>0.25071551230681166</x:v>
      </x:c>
      <x:c r="X199" s="44" t="n">
        <x:v>0.3122495706926159</x:v>
      </x:c>
      <x:c r="Y199" s="44" t="n">
        <x:v>0</x:v>
      </x:c>
      <x:c r="Z199" s="44" t="n">
        <x:v>0.2647058823529412</x:v>
      </x:c>
      <x:c r="AA199" s="45" t="n">
        <x:v>0.9</x:v>
      </x:c>
      <x:c r="AB199" s="45" t="n">
        <x:v>0.3235294117647059</x:v>
      </x:c>
      <x:c r="AC199" s="45" t="n">
        <x:v>0.20588235294117646</x:v>
      </x:c>
      <x:c r="AD199" s="44" t="n">
        <x:v>0.4176470588235294</x:v>
      </x:c>
      <x:c r="AE199" s="44" t="n">
        <x:v>0.29411764705882354</x:v>
      </x:c>
      <x:c r="AF199" s="45" t="n">
        <x:v>0.5970588235294118</x:v>
      </x:c>
      <x:c r="AG199" s="45" t="n">
        <x:v>0.4803921568627451</x:v>
      </x:c>
      <x:c r="AH199" s="44" t="n">
        <x:v>0.4411764705882353</x:v>
      </x:c>
      <x:c r="AI199" s="44" t="n">
        <x:v>0.4411764705882353</x:v>
      </x:c>
      <x:c r="AJ199" s="45" t="n">
        <x:v>0.5588235294117647</x:v>
      </x:c>
      <x:c r="AK199" s="45" t="n">
        <x:v>0.5259259259259259</x:v>
      </x:c>
      <x:c r="AL199" s="45" t="n">
        <x:v>0.5344589687726943</x:v>
      </x:c>
      <x:c r="AM199" s="44" t="n">
        <x:v>0.5387254901960784</x:v>
      </x:c>
    </x:row>
    <x:row r="200" ht="15" hidden="0" customHeight="1">
      <x:c r="A200" s="44" t="str">
        <x:v>139-007</x:v>
      </x:c>
      <x:c r="B200" s="44" t="str">
        <x:v>Khader Mohra (Akhuri)</x:v>
      </x:c>
      <x:c r="C200" s="44" t="n">
        <x:v>1000</x:v>
      </x:c>
      <x:c r="D200" s="44" t="str">
        <x:v>E2004</x:v>
      </x:c>
      <x:c r="E200" s="44" t="n">
        <x:v>2004</x:v>
      </x:c>
      <x:c r="F200" s="44" t="n">
        <x:v>3493</x:v>
      </x:c>
      <x:c r="G200" s="45" t="n">
        <x:v>0.3853459358215332</x:v>
      </x:c>
      <x:c r="H200" s="44" t="n">
        <x:v>0.3252730369567871</x:v>
      </x:c>
      <x:c r="I200" s="44" t="n">
        <x:v>0.47633257508277893</x:v>
      </x:c>
      <x:c r="J200" s="45" t="n">
        <x:v>-0.02699563466012478</x:v>
      </x:c>
      <x:c r="K200" s="44" t="n">
        <x:v>-0.12527497112751007</x:v>
      </x:c>
      <x:c r="L200" s="44" t="n">
        <x:v>0.03783553093671799</x:v>
      </x:c>
      <x:c r="M200" s="45" t="n">
        <x:v>-0.4267084300518036</x:v>
      </x:c>
      <x:c r="N200" s="44" t="n">
        <x:v>-0.4761975407600403</x:v>
      </x:c>
      <x:c r="O200" s="44" t="n">
        <x:v>-0.35555267333984375</x:v>
      </x:c>
      <x:c r="P200" s="45" t="n">
        <x:v>0.05344640836119652</x:v>
      </x:c>
      <x:c r="Q200" s="44" t="n">
        <x:v>-0.033287253230810165</x:v>
      </x:c>
      <x:c r="R200" s="44" t="n">
        <x:v>0.11150237172842026</x:v>
      </x:c>
      <x:c r="S200" s="44" t="n">
        <x:v>3493</x:v>
      </x:c>
      <x:c r="T200" s="44" t="n">
        <x:v>0.06699112510735757</x:v>
      </x:c>
      <x:c r="U200" s="44" t="n">
        <x:v>0.009161179501860864</x:v>
      </x:c>
      <x:c r="V200" s="44" t="n">
        <x:v>0.37904380188949327</x:v>
      </x:c>
      <x:c r="W200" s="44" t="n">
        <x:v>0.06899513312338963</x:v>
      </x:c>
      <x:c r="X200" s="44" t="n">
        <x:v>0.47580876037789865</x:v>
      </x:c>
      <x:c r="Y200" s="44" t="n">
        <x:v>0</x:v>
      </x:c>
      <x:c r="Z200" s="44" t="n">
        <x:v>0.6294117647058823</x:v>
      </x:c>
      <x:c r="AA200" s="45" t="n">
        <x:v>0.7705882352941177</x:v>
      </x:c>
      <x:c r="AB200" s="45" t="n">
        <x:v>0.6058823529411764</x:v>
      </x:c>
      <x:c r="AC200" s="45" t="n">
        <x:v>0.3235294117647059</x:v>
      </x:c>
      <x:c r="AD200" s="44" t="n">
        <x:v>0.5058823529411764</x:v>
      </x:c>
      <x:c r="AE200" s="44" t="n">
        <x:v>0.6176470588235294</x:v>
      </x:c>
      <x:c r="AF200" s="45" t="n">
        <x:v>0.6941176470588235</x:v>
      </x:c>
      <x:c r="AG200" s="45" t="n">
        <x:v>0.5980392156862745</x:v>
      </x:c>
      <x:c r="AH200" s="44" t="n">
        <x:v>0.7941176470588235</x:v>
      </x:c>
      <x:c r="AI200" s="44" t="n">
        <x:v>0.20588235294117646</x:v>
      </x:c>
      <x:c r="AJ200" s="45" t="n">
        <x:v>0.7941176470588235</x:v>
      </x:c>
      <x:c r="AK200" s="45" t="n">
        <x:v>0.5166666666666666</x:v>
      </x:c>
      <x:c r="AL200" s="45" t="n">
        <x:v>0.6029411764705882</x:v>
      </x:c>
      <x:c r="AM200" s="44" t="n">
        <x:v>0.646078431372549</x:v>
      </x:c>
    </x:row>
    <x:row r="201" ht="15" hidden="0" customHeight="1">
      <x:c r="A201" s="44" t="str">
        <x:v>139-007</x:v>
      </x:c>
      <x:c r="B201" s="44" t="str">
        <x:v>Khader Mohra (Akhuri)</x:v>
      </x:c>
      <x:c r="C201" s="44" t="n">
        <x:v>1000</x:v>
      </x:c>
      <x:c r="D201" s="44" t="str">
        <x:v>E2009</x:v>
      </x:c>
      <x:c r="E201" s="44" t="n">
        <x:v>2009</x:v>
      </x:c>
      <x:c r="F201" s="44" t="n">
        <x:v>3493</x:v>
      </x:c>
      <x:c r="G201" s="45" t="n">
        <x:v>0.3790520429611206</x:v>
      </x:c>
      <x:c r="H201" s="44" t="n">
        <x:v>0.30297961831092834</x:v>
      </x:c>
      <x:c r="I201" s="44" t="n">
        <x:v>0.47530853748321533</x:v>
      </x:c>
      <x:c r="J201" s="45" t="n">
        <x:v>-0.026650942862033844</x:v>
      </x:c>
      <x:c r="K201" s="44" t="n">
        <x:v>-0.11706699430942535</x:v>
      </x:c>
      <x:c r="L201" s="44" t="n">
        <x:v>0.05242537707090378</x:v>
      </x:c>
      <x:c r="M201" s="45" t="n">
        <x:v>-0.4242600202560425</x:v>
      </x:c>
      <x:c r="N201" s="44" t="n">
        <x:v>-0.4706988036632538</x:v>
      </x:c>
      <x:c r="O201" s="44" t="n">
        <x:v>-0.3648349642753601</x:v>
      </x:c>
      <x:c r="P201" s="45" t="n">
        <x:v>0.05093295872211456</x:v>
      </x:c>
      <x:c r="Q201" s="44" t="n">
        <x:v>-0.03539561480283737</x:v>
      </x:c>
      <x:c r="R201" s="44" t="n">
        <x:v>0.12413839995861053</x:v>
      </x:c>
      <x:c r="S201" s="44" t="n">
        <x:v>3493</x:v>
      </x:c>
      <x:c r="T201" s="44" t="n">
        <x:v>0.11022044088176353</x:v>
      </x:c>
      <x:c r="U201" s="44" t="n">
        <x:v>0.004580589750930432</x:v>
      </x:c>
      <x:c r="V201" s="44" t="n">
        <x:v>0.4217005439450329</x:v>
      </x:c>
      <x:c r="W201" s="44" t="n">
        <x:v>0.07271686229602062</x:v>
      </x:c>
      <x:c r="X201" s="44" t="n">
        <x:v>0.3907815631262525</x:v>
      </x:c>
      <x:c r="Y201" s="44" t="n">
        <x:v>0</x:v>
      </x:c>
      <x:c r="Z201" s="44" t="n">
        <x:v>0.6764705882352942</x:v>
      </x:c>
      <x:c r="AA201" s="45" t="n">
        <x:v>0.7235294117647059</x:v>
      </x:c>
      <x:c r="AB201" s="45" t="n">
        <x:v>0.6411764705882353</x:v>
      </x:c>
      <x:c r="AC201" s="45" t="n">
        <x:v>0.6529411764705882</x:v>
      </x:c>
      <x:c r="AD201" s="44" t="n">
        <x:v>0.3</x:v>
      </x:c>
      <x:c r="AE201" s="44" t="n">
        <x:v>0.6588235294117648</x:v>
      </x:c>
      <x:c r="AF201" s="45" t="n">
        <x:v>0.6911764705882353</x:v>
      </x:c>
      <x:c r="AG201" s="45" t="n">
        <x:v>0.5980392156862745</x:v>
      </x:c>
      <x:c r="AH201" s="44" t="n">
        <x:v>0.7941176470588235</x:v>
      </x:c>
      <x:c r="AI201" s="44" t="n">
        <x:v>0.20588235294117646</x:v>
      </x:c>
      <x:c r="AJ201" s="45" t="n">
        <x:v>0.7941176470588235</x:v>
      </x:c>
      <x:c r="AK201" s="45" t="n">
        <x:v>0.462037037037037</x:v>
      </x:c>
      <x:c r="AL201" s="45" t="n">
        <x:v>0.5837509077705155</x:v>
      </x:c>
      <x:c r="AM201" s="44" t="n">
        <x:v>0.6446078431372548</x:v>
      </x:c>
    </x:row>
    <x:row r="202" ht="15" hidden="0" customHeight="1">
      <x:c r="A202" s="44" t="str">
        <x:v>139-007</x:v>
      </x:c>
      <x:c r="B202" s="44" t="str">
        <x:v>Khader Mohra (Akhuri)</x:v>
      </x:c>
      <x:c r="C202" s="44" t="n">
        <x:v>1000</x:v>
      </x:c>
      <x:c r="D202" s="44" t="str">
        <x:v>E2014</x:v>
      </x:c>
      <x:c r="E202" s="44" t="n">
        <x:v>2014</x:v>
      </x:c>
      <x:c r="F202" s="44" t="n">
        <x:v>3490</x:v>
      </x:c>
      <x:c r="G202" s="45" t="n">
        <x:v>0.39630216360092163</x:v>
      </x:c>
      <x:c r="H202" s="44" t="n">
        <x:v>0.3121180832386017</x:v>
      </x:c>
      <x:c r="I202" s="44" t="n">
        <x:v>0.5530940294265747</x:v>
      </x:c>
      <x:c r="J202" s="45" t="n">
        <x:v>-0.03217392414808273</x:v>
      </x:c>
      <x:c r="K202" s="44" t="n">
        <x:v>-0.15870118141174316</x:v>
      </x:c>
      <x:c r="L202" s="44" t="n">
        <x:v>0.052278004586696625</x:v>
      </x:c>
      <x:c r="M202" s="45" t="n">
        <x:v>-0.4278755784034729</x:v>
      </x:c>
      <x:c r="N202" s="44" t="n">
        <x:v>-0.47094061970710754</x:v>
      </x:c>
      <x:c r="O202" s="44" t="n">
        <x:v>-0.35612988471984863</x:v>
      </x:c>
      <x:c r="P202" s="45" t="n">
        <x:v>0.0457303524017334</x:v>
      </x:c>
      <x:c r="Q202" s="44" t="n">
        <x:v>-0.07141268253326416</x:v>
      </x:c>
      <x:c r="R202" s="44" t="n">
        <x:v>0.1137414276599884</x:v>
      </x:c>
      <x:c r="S202" s="44" t="n">
        <x:v>3490</x:v>
      </x:c>
      <x:c r="T202" s="44" t="n">
        <x:v>0.04699140401146132</x:v>
      </x:c>
      <x:c r="U202" s="44" t="n">
        <x:v>0.0169054441260745</x:v>
      </x:c>
      <x:c r="V202" s="44" t="n">
        <x:v>0.29312320916905443</x:v>
      </x:c>
      <x:c r="W202" s="44" t="n">
        <x:v>0.13782234957020056</x:v>
      </x:c>
      <x:c r="X202" s="44" t="n">
        <x:v>0.5051575931232092</x:v>
      </x:c>
      <x:c r="Y202" s="44" t="n">
        <x:v>0</x:v>
      </x:c>
      <x:c r="Z202" s="44" t="n">
        <x:v>0.5352941176470588</x:v>
      </x:c>
      <x:c r="AA202" s="45" t="n">
        <x:v>0.8411764705882353</x:v>
      </x:c>
      <x:c r="AB202" s="45" t="n">
        <x:v>0.5705882352941176</x:v>
      </x:c>
      <x:c r="AC202" s="45" t="n">
        <x:v>0.21764705882352942</x:v>
      </x:c>
      <x:c r="AD202" s="44" t="n">
        <x:v>0.6764705882352942</x:v>
      </x:c>
      <x:c r="AE202" s="44" t="n">
        <x:v>0.5529411764705883</x:v>
      </x:c>
      <x:c r="AF202" s="45" t="n">
        <x:v>0.6970588235294117</x:v>
      </x:c>
      <x:c r="AG202" s="45" t="n">
        <x:v>0.5980392156862745</x:v>
      </x:c>
      <x:c r="AH202" s="44" t="n">
        <x:v>0.7941176470588235</x:v>
      </x:c>
      <x:c r="AI202" s="44" t="n">
        <x:v>0.20588235294117646</x:v>
      </x:c>
      <x:c r="AJ202" s="45" t="n">
        <x:v>0.7941176470588235</x:v>
      </x:c>
      <x:c r="AK202" s="45" t="n">
        <x:v>0.4842592592592592</x:v>
      </x:c>
      <x:c r="AL202" s="45" t="n">
        <x:v>0.5931190994916484</x:v>
      </x:c>
      <x:c r="AM202" s="44" t="n">
        <x:v>0.6475490196078431</x:v>
      </x:c>
    </x:row>
    <x:row r="203" ht="15" hidden="0" customHeight="1">
      <x:c r="A203" s="44" t="str">
        <x:v>139-007</x:v>
      </x:c>
      <x:c r="B203" s="44" t="str">
        <x:v>Khader Mohra (Akhuri)</x:v>
      </x:c>
      <x:c r="C203" s="44" t="n">
        <x:v>1000</x:v>
      </x:c>
      <x:c r="D203" s="44" t="str">
        <x:v>E2019</x:v>
      </x:c>
      <x:c r="E203" s="44" t="n">
        <x:v>2019</x:v>
      </x:c>
      <x:c r="F203" s="44" t="n">
        <x:v>3487</x:v>
      </x:c>
      <x:c r="G203" s="45" t="n">
        <x:v>0.43888047337532043</x:v>
      </x:c>
      <x:c r="H203" s="44" t="n">
        <x:v>0.301730215549469</x:v>
      </x:c>
      <x:c r="I203" s="44" t="n">
        <x:v>0.5997165441513062</x:v>
      </x:c>
      <x:c r="J203" s="45" t="n">
        <x:v>-0.07531961053609848</x:v>
      </x:c>
      <x:c r="K203" s="44" t="n">
        <x:v>-0.20620529353618622</x:v>
      </x:c>
      <x:c r="L203" s="44" t="n">
        <x:v>0.04577476531267166</x:v>
      </x:c>
      <x:c r="M203" s="45" t="n">
        <x:v>-0.4183768033981323</x:v>
      </x:c>
      <x:c r="N203" s="44" t="n">
        <x:v>-0.45712313055992126</x:v>
      </x:c>
      <x:c r="O203" s="44" t="n">
        <x:v>-0.34386661648750305</x:v>
      </x:c>
      <x:c r="P203" s="45" t="n">
        <x:v>0.008227244950830936</x:v>
      </x:c>
      <x:c r="Q203" s="44" t="n">
        <x:v>-0.11739058047533035</x:v>
      </x:c>
      <x:c r="R203" s="44" t="n">
        <x:v>0.1112820953130722</x:v>
      </x:c>
      <x:c r="S203" s="44" t="n">
        <x:v>3487</x:v>
      </x:c>
      <x:c r="T203" s="44" t="n">
        <x:v>0.061944364783481504</x:v>
      </x:c>
      <x:c r="U203" s="44" t="n">
        <x:v>0.030398623458560366</x:v>
      </x:c>
      <x:c r="V203" s="44" t="n">
        <x:v>0.27244049326068254</x:v>
      </x:c>
      <x:c r="W203" s="44" t="n">
        <x:v>0.2658445655291081</x:v>
      </x:c>
      <x:c r="X203" s="44" t="n">
        <x:v>0.3693719529681675</x:v>
      </x:c>
      <x:c r="Y203" s="44" t="n">
        <x:v>0</x:v>
      </x:c>
      <x:c r="Z203" s="44" t="n">
        <x:v>0.38235294117647056</x:v>
      </x:c>
      <x:c r="AA203" s="45" t="n">
        <x:v>0.5235294117647059</x:v>
      </x:c>
      <x:c r="AB203" s="45" t="n">
        <x:v>0.34705882352941175</x:v>
      </x:c>
      <x:c r="AC203" s="45" t="n">
        <x:v>0.27647058823529413</x:v>
      </x:c>
      <x:c r="AD203" s="44" t="n">
        <x:v>0.7235294117647059</x:v>
      </x:c>
      <x:c r="AE203" s="44" t="n">
        <x:v>0.36470588235294116</x:v>
      </x:c>
      <x:c r="AF203" s="45" t="n">
        <x:v>0.4441176470588235</x:v>
      </x:c>
      <x:c r="AG203" s="45" t="n">
        <x:v>0.5980392156862745</x:v>
      </x:c>
      <x:c r="AH203" s="44" t="n">
        <x:v>0.7941176470588235</x:v>
      </x:c>
      <x:c r="AI203" s="44" t="n">
        <x:v>0.20588235294117646</x:v>
      </x:c>
      <x:c r="AJ203" s="45" t="n">
        <x:v>0.7941176470588235</x:v>
      </x:c>
      <x:c r="AK203" s="45" t="n">
        <x:v>0.3138888888888889</x:v>
      </x:c>
      <x:c r="AL203" s="45" t="n">
        <x:v>0.45201525054466224</x:v>
      </x:c>
      <x:c r="AM203" s="44" t="n">
        <x:v>0.521078431372549</x:v>
      </x:c>
    </x:row>
    <x:row r="204" ht="15" hidden="0" customHeight="1">
      <x:c r="A204" s="44" t="str">
        <x:v>139-007</x:v>
      </x:c>
      <x:c r="B204" s="44" t="str">
        <x:v>Khader Mohra (Akhuri)</x:v>
      </x:c>
      <x:c r="C204" s="44" t="n">
        <x:v>1000</x:v>
      </x:c>
      <x:c r="D204" s="44" t="str">
        <x:v>E2024</x:v>
      </x:c>
      <x:c r="E204" s="44" t="n">
        <x:v>2024</x:v>
      </x:c>
      <x:c r="F204" s="44" t="n">
        <x:v>3493</x:v>
      </x:c>
      <x:c r="G204" s="45" t="n">
        <x:v>0.49962106347084045</x:v>
      </x:c>
      <x:c r="H204" s="44" t="n">
        <x:v>0.3551296889781952</x:v>
      </x:c>
      <x:c r="I204" s="44" t="n">
        <x:v>0.6372501850128174</x:v>
      </x:c>
      <x:c r="J204" s="45" t="n">
        <x:v>-0.10553540289402008</x:v>
      </x:c>
      <x:c r="K204" s="44" t="n">
        <x:v>-0.21505960822105408</x:v>
      </x:c>
      <x:c r="L204" s="44" t="n">
        <x:v>0.005410613026469946</x:v>
      </x:c>
      <x:c r="M204" s="45" t="n">
        <x:v>-0.4335595667362213</x:v>
      </x:c>
      <x:c r="N204" s="44" t="n">
        <x:v>-0.4780868589878082</x:v>
      </x:c>
      <x:c r="O204" s="44" t="n">
        <x:v>-0.37786364555358887</x:v>
      </x:c>
      <x:c r="P204" s="45" t="n">
        <x:v>-0.021145617589354515</x:v>
      </x:c>
      <x:c r="Q204" s="44" t="n">
        <x:v>-0.13297118246555328</x:v>
      </x:c>
      <x:c r="R204" s="44" t="n">
        <x:v>0.07837332040071487</x:v>
      </x:c>
      <x:c r="S204" s="44" t="n">
        <x:v>3493</x:v>
      </x:c>
      <x:c r="T204" s="44" t="n">
        <x:v>0.04151159461780704</x:v>
      </x:c>
      <x:c r="U204" s="44" t="n">
        <x:v>0.00858860578299456</x:v>
      </x:c>
      <x:c r="V204" s="44" t="n">
        <x:v>0.2619524763813341</x:v>
      </x:c>
      <x:c r="W204" s="44" t="n">
        <x:v>0.36129401660463784</x:v>
      </x:c>
      <x:c r="X204" s="44" t="n">
        <x:v>0.32665330661322645</x:v>
      </x:c>
      <x:c r="Y204" s="44" t="n">
        <x:v>0</x:v>
      </x:c>
      <x:c r="Z204" s="44" t="n">
        <x:v>0.1588235294117647</x:v>
      </x:c>
      <x:c r="AA204" s="45" t="n">
        <x:v>0.9235294117647059</x:v>
      </x:c>
      <x:c r="AB204" s="45" t="n">
        <x:v>0.20588235294117646</x:v>
      </x:c>
      <x:c r="AC204" s="45" t="n">
        <x:v>0.18235294117647058</x:v>
      </x:c>
      <x:c r="AD204" s="44" t="n">
        <x:v>0.4470588235294118</x:v>
      </x:c>
      <x:c r="AE204" s="44" t="n">
        <x:v>0.18235294117647058</x:v>
      </x:c>
      <x:c r="AF204" s="45" t="n">
        <x:v>0.5529411764705883</x:v>
      </x:c>
      <x:c r="AG204" s="45" t="n">
        <x:v>0.5980392156862745</x:v>
      </x:c>
      <x:c r="AH204" s="44" t="n">
        <x:v>0.7941176470588235</x:v>
      </x:c>
      <x:c r="AI204" s="44" t="n">
        <x:v>0.20588235294117646</x:v>
      </x:c>
      <x:c r="AJ204" s="45" t="n">
        <x:v>0.7941176470588235</x:v>
      </x:c>
      <x:c r="AK204" s="45" t="n">
        <x:v>0.5259259259259259</x:v>
      </x:c>
      <x:c r="AL204" s="45" t="n">
        <x:v>0.5589687726942628</x:v>
      </x:c>
      <x:c r="AM204" s="44" t="n">
        <x:v>0.5754901960784313</x:v>
      </x:c>
    </x:row>
    <x:row r="205" ht="15" hidden="0" customHeight="1">
      <x:c r="A205" s="44" t="str">
        <x:v>139-008</x:v>
      </x:c>
      <x:c r="B205" s="44" t="str">
        <x:v>Kalawan group of buildings</x:v>
      </x:c>
      <x:c r="C205" s="44" t="n">
        <x:v>1000</x:v>
      </x:c>
      <x:c r="D205" s="44" t="str">
        <x:v>E2004</x:v>
      </x:c>
      <x:c r="E205" s="44" t="n">
        <x:v>2004</x:v>
      </x:c>
      <x:c r="F205" s="44" t="n">
        <x:v>3498</x:v>
      </x:c>
      <x:c r="G205" s="45" t="n">
        <x:v>0.3449563682079315</x:v>
      </x:c>
      <x:c r="H205" s="44" t="n">
        <x:v>0.2654758393764496</x:v>
      </x:c>
      <x:c r="I205" s="44" t="n">
        <x:v>0.4422402083873749</x:v>
      </x:c>
      <x:c r="J205" s="45" t="n">
        <x:v>0.00875286664813757</x:v>
      </x:c>
      <x:c r="K205" s="44" t="n">
        <x:v>-0.08681363612413406</x:v>
      </x:c>
      <x:c r="L205" s="44" t="n">
        <x:v>0.05703740939497948</x:v>
      </x:c>
      <x:c r="M205" s="45" t="n">
        <x:v>-0.42625147104263306</x:v>
      </x:c>
      <x:c r="N205" s="44" t="n">
        <x:v>-0.4607289135456085</x:v>
      </x:c>
      <x:c r="O205" s="44" t="n">
        <x:v>-0.3832339346408844</x:v>
      </x:c>
      <x:c r="P205" s="45" t="n">
        <x:v>0.08703280985355377</x:v>
      </x:c>
      <x:c r="Q205" s="44" t="n">
        <x:v>-0.003214476862922311</x:v>
      </x:c>
      <x:c r="R205" s="44" t="n">
        <x:v>0.1348930299282074</x:v>
      </x:c>
      <x:c r="S205" s="44" t="n">
        <x:v>3498</x:v>
      </x:c>
      <x:c r="T205" s="44" t="n">
        <x:v>0.06946826758147513</x:v>
      </x:c>
      <x:c r="U205" s="44" t="n">
        <x:v>0.04488279016580903</x:v>
      </x:c>
      <x:c r="V205" s="44" t="n">
        <x:v>0.582904516866781</x:v>
      </x:c>
      <x:c r="W205" s="44" t="n">
        <x:v>0.032590051457975985</x:v>
      </x:c>
      <x:c r="X205" s="44" t="n">
        <x:v>0.2701543739279588</x:v>
      </x:c>
      <x:c r="Y205" s="44" t="n">
        <x:v>0</x:v>
      </x:c>
      <x:c r="Z205" s="44" t="n">
        <x:v>0.7941176470588235</x:v>
      </x:c>
      <x:c r="AA205" s="45" t="n">
        <x:v>0.7588235294117647</x:v>
      </x:c>
      <x:c r="AB205" s="45" t="n">
        <x:v>0.8647058823529412</x:v>
      </x:c>
      <x:c r="AC205" s="45" t="n">
        <x:v>0.34705882352941175</x:v>
      </x:c>
      <x:c r="AD205" s="44" t="n">
        <x:v>0.8058823529411765</x:v>
      </x:c>
      <x:c r="AE205" s="44" t="n">
        <x:v>0.8294117647058823</x:v>
      </x:c>
      <x:c r="AF205" s="45" t="n">
        <x:v>0.7941176470588235</x:v>
      </x:c>
      <x:c r="AG205" s="45" t="n">
        <x:v>0.46078431372549017</x:v>
      </x:c>
      <x:c r="AH205" s="44" t="n">
        <x:v>0.5588235294117647</x:v>
      </x:c>
      <x:c r="AI205" s="44" t="n">
        <x:v>0.38235294117647056</x:v>
      </x:c>
      <x:c r="AJ205" s="45" t="n">
        <x:v>0.4411764705882353</x:v>
      </x:c>
      <x:c r="AK205" s="45" t="n">
        <x:v>0.5166666666666666</x:v>
      </x:c>
      <x:c r="AL205" s="45" t="n">
        <x:v>0.5905228758169935</x:v>
      </x:c>
      <x:c r="AM205" s="44" t="n">
        <x:v>0.6274509803921569</x:v>
      </x:c>
    </x:row>
    <x:row r="206" ht="15" hidden="0" customHeight="1">
      <x:c r="A206" s="44" t="str">
        <x:v>139-008</x:v>
      </x:c>
      <x:c r="B206" s="44" t="str">
        <x:v>Kalawan group of buildings</x:v>
      </x:c>
      <x:c r="C206" s="44" t="n">
        <x:v>1000</x:v>
      </x:c>
      <x:c r="D206" s="44" t="str">
        <x:v>E2009</x:v>
      </x:c>
      <x:c r="E206" s="44" t="n">
        <x:v>2009</x:v>
      </x:c>
      <x:c r="F206" s="44" t="n">
        <x:v>3498</x:v>
      </x:c>
      <x:c r="G206" s="45" t="n">
        <x:v>0.3238481879234314</x:v>
      </x:c>
      <x:c r="H206" s="44" t="n">
        <x:v>0.25202885270118713</x:v>
      </x:c>
      <x:c r="I206" s="44" t="n">
        <x:v>0.4200902581214905</x:v>
      </x:c>
      <x:c r="J206" s="45" t="n">
        <x:v>0.01671692356467247</x:v>
      </x:c>
      <x:c r="K206" s="44" t="n">
        <x:v>-0.07587836682796478</x:v>
      </x:c>
      <x:c r="L206" s="44" t="n">
        <x:v>0.05968586727976799</x:v>
      </x:c>
      <x:c r="M206" s="45" t="n">
        <x:v>-0.413057804107666</x:v>
      </x:c>
      <x:c r="N206" s="44" t="n">
        <x:v>-0.4530358910560608</x:v>
      </x:c>
      <x:c r="O206" s="44" t="n">
        <x:v>-0.37449225783348083</x:v>
      </x:c>
      <x:c r="P206" s="45" t="n">
        <x:v>0.09111571311950684</x:v>
      </x:c>
      <x:c r="Q206" s="44" t="n">
        <x:v>0.004744099918752909</x:v>
      </x:c>
      <x:c r="R206" s="44" t="n">
        <x:v>0.13279075920581818</x:v>
      </x:c>
      <x:c r="S206" s="44" t="n">
        <x:v>3498</x:v>
      </x:c>
      <x:c r="T206" s="44" t="n">
        <x:v>0.120926243567753</x:v>
      </x:c>
      <x:c r="U206" s="44" t="n">
        <x:v>0.0880503144654088</x:v>
      </x:c>
      <x:c r="V206" s="44" t="n">
        <x:v>0.51915380217267</x:v>
      </x:c>
      <x:c r="W206" s="44" t="n">
        <x:v>0.02115494568324757</x:v>
      </x:c>
      <x:c r="X206" s="44" t="n">
        <x:v>0.2507146941109205</x:v>
      </x:c>
      <x:c r="Y206" s="44" t="n">
        <x:v>0</x:v>
      </x:c>
      <x:c r="Z206" s="44" t="n">
        <x:v>0.9117647058823529</x:v>
      </x:c>
      <x:c r="AA206" s="45" t="n">
        <x:v>0.31176470588235294</x:v>
      </x:c>
      <x:c r="AB206" s="45" t="n">
        <x:v>0.9588235294117647</x:v>
      </x:c>
      <x:c r="AC206" s="45" t="n">
        <x:v>0.7</x:v>
      </x:c>
      <x:c r="AD206" s="44" t="n">
        <x:v>0.888235294117647</x:v>
      </x:c>
      <x:c r="AE206" s="44" t="n">
        <x:v>0.9352941176470588</x:v>
      </x:c>
      <x:c r="AF206" s="45" t="n">
        <x:v>0.6235294117647059</x:v>
      </x:c>
      <x:c r="AG206" s="45" t="n">
        <x:v>0.46078431372549017</x:v>
      </x:c>
      <x:c r="AH206" s="44" t="n">
        <x:v>0.5588235294117647</x:v>
      </x:c>
      <x:c r="AI206" s="44" t="n">
        <x:v>0.38235294117647056</x:v>
      </x:c>
      <x:c r="AJ206" s="45" t="n">
        <x:v>0.4411764705882353</x:v>
      </x:c>
      <x:c r="AK206" s="45" t="n">
        <x:v>0.462037037037037</x:v>
      </x:c>
      <x:c r="AL206" s="45" t="n">
        <x:v>0.5154502541757443</x:v>
      </x:c>
      <x:c r="AM206" s="44" t="n">
        <x:v>0.542156862745098</x:v>
      </x:c>
    </x:row>
    <x:row r="207" ht="15" hidden="0" customHeight="1">
      <x:c r="A207" s="44" t="str">
        <x:v>139-008</x:v>
      </x:c>
      <x:c r="B207" s="44" t="str">
        <x:v>Kalawan group of buildings</x:v>
      </x:c>
      <x:c r="C207" s="44" t="n">
        <x:v>1000</x:v>
      </x:c>
      <x:c r="D207" s="44" t="str">
        <x:v>E2014</x:v>
      </x:c>
      <x:c r="E207" s="44" t="n">
        <x:v>2014</x:v>
      </x:c>
      <x:c r="F207" s="44" t="n">
        <x:v>3496</x:v>
      </x:c>
      <x:c r="G207" s="45" t="n">
        <x:v>0.3496606945991516</x:v>
      </x:c>
      <x:c r="H207" s="44" t="n">
        <x:v>0.25973400473594666</x:v>
      </x:c>
      <x:c r="I207" s="44" t="n">
        <x:v>0.5081971883773804</x:v>
      </x:c>
      <x:c r="J207" s="45" t="n">
        <x:v>0.005243320949375629</x:v>
      </x:c>
      <x:c r="K207" s="44" t="n">
        <x:v>-0.10711213946342468</x:v>
      </x:c>
      <x:c r="L207" s="44" t="n">
        <x:v>0.057823263108730316</x:v>
      </x:c>
      <x:c r="M207" s="45" t="n">
        <x:v>-0.41378095746040344</x:v>
      </x:c>
      <x:c r="N207" s="44" t="n">
        <x:v>-0.4645213186740875</x:v>
      </x:c>
      <x:c r="O207" s="44" t="n">
        <x:v>-0.36621344089508057</x:v>
      </x:c>
      <x:c r="P207" s="45" t="n">
        <x:v>0.07779905200004578</x:v>
      </x:c>
      <x:c r="Q207" s="44" t="n">
        <x:v>-0.029929867014288902</x:v>
      </x:c>
      <x:c r="R207" s="44" t="n">
        <x:v>0.12370039522647858</x:v>
      </x:c>
      <x:c r="S207" s="44" t="n">
        <x:v>3496</x:v>
      </x:c>
      <x:c r="T207" s="44" t="n">
        <x:v>0.09553775743707094</x:v>
      </x:c>
      <x:c r="U207" s="44" t="n">
        <x:v>0.03832951945080092</x:v>
      </x:c>
      <x:c r="V207" s="44" t="n">
        <x:v>0.4751144164759725</x:v>
      </x:c>
      <x:c r="W207" s="44" t="n">
        <x:v>0.07808924485125858</x:v>
      </x:c>
      <x:c r="X207" s="44" t="n">
        <x:v>0.31292906178489704</x:v>
      </x:c>
      <x:c r="Y207" s="44" t="n">
        <x:v>0</x:v>
      </x:c>
      <x:c r="Z207" s="44" t="n">
        <x:v>0.7470588235294118</x:v>
      </x:c>
      <x:c r="AA207" s="45" t="n">
        <x:v>0.3588235294117647</x:v>
      </x:c>
      <x:c r="AB207" s="45" t="n">
        <x:v>0.8294117647058824</x:v>
      </x:c>
      <x:c r="AC207" s="45" t="n">
        <x:v>0.5588235294117647</x:v>
      </x:c>
      <x:c r="AD207" s="44" t="n">
        <x:v>0.7941176470588235</x:v>
      </x:c>
      <x:c r="AE207" s="44" t="n">
        <x:v>0.7882352941176471</x:v>
      </x:c>
      <x:c r="AF207" s="45" t="n">
        <x:v>0.573529411764706</x:v>
      </x:c>
      <x:c r="AG207" s="45" t="n">
        <x:v>0.46078431372549017</x:v>
      </x:c>
      <x:c r="AH207" s="44" t="n">
        <x:v>0.5588235294117647</x:v>
      </x:c>
      <x:c r="AI207" s="44" t="n">
        <x:v>0.38235294117647056</x:v>
      </x:c>
      <x:c r="AJ207" s="45" t="n">
        <x:v>0.4411764705882353</x:v>
      </x:c>
      <x:c r="AK207" s="45" t="n">
        <x:v>0.4842592592592592</x:v>
      </x:c>
      <x:c r="AL207" s="45" t="n">
        <x:v>0.5061909949164851</x:v>
      </x:c>
      <x:c r="AM207" s="44" t="n">
        <x:v>0.5171568627450981</x:v>
      </x:c>
    </x:row>
    <x:row r="208" ht="15" hidden="0" customHeight="1">
      <x:c r="A208" s="44" t="str">
        <x:v>139-008</x:v>
      </x:c>
      <x:c r="B208" s="44" t="str">
        <x:v>Kalawan group of buildings</x:v>
      </x:c>
      <x:c r="C208" s="44" t="n">
        <x:v>1000</x:v>
      </x:c>
      <x:c r="D208" s="44" t="str">
        <x:v>E2019</x:v>
      </x:c>
      <x:c r="E208" s="44" t="n">
        <x:v>2019</x:v>
      </x:c>
      <x:c r="F208" s="44" t="n">
        <x:v>3496</x:v>
      </x:c>
      <x:c r="G208" s="45" t="n">
        <x:v>0.3907884359359741</x:v>
      </x:c>
      <x:c r="H208" s="44" t="n">
        <x:v>0.29073476791381836</x:v>
      </x:c>
      <x:c r="I208" s="44" t="n">
        <x:v>0.5422854423522949</x:v>
      </x:c>
      <x:c r="J208" s="45" t="n">
        <x:v>-0.026577284559607506</x:v>
      </x:c>
      <x:c r="K208" s="44" t="n">
        <x:v>-0.1364356130361557</x:v>
      </x:c>
      <x:c r="L208" s="44" t="n">
        <x:v>0.03035024181008339</x:v>
      </x:c>
      <x:c r="M208" s="45" t="n">
        <x:v>-0.4175263047218323</x:v>
      </x:c>
      <x:c r="N208" s="44" t="n">
        <x:v>-0.46288543939590454</x:v>
      </x:c>
      <x:c r="O208" s="44" t="n">
        <x:v>-0.3684895634651184</x:v>
      </x:c>
      <x:c r="P208" s="45" t="n">
        <x:v>0.050747573375701904</x:v>
      </x:c>
      <x:c r="Q208" s="44" t="n">
        <x:v>-0.05610918253660202</x:v>
      </x:c>
      <x:c r="R208" s="44" t="n">
        <x:v>0.10187990963459015</x:v>
      </x:c>
      <x:c r="S208" s="44" t="n">
        <x:v>3496</x:v>
      </x:c>
      <x:c r="T208" s="44" t="n">
        <x:v>0.07637299771167048</x:v>
      </x:c>
      <x:c r="U208" s="44" t="n">
        <x:v>0.012299771167048055</x:v>
      </x:c>
      <x:c r="V208" s="44" t="n">
        <x:v>0.48426773455377575</x:v>
      </x:c>
      <x:c r="W208" s="44" t="n">
        <x:v>0.1215675057208238</x:v>
      </x:c>
      <x:c r="X208" s="44" t="n">
        <x:v>0.30549199084668194</x:v>
      </x:c>
      <x:c r="Y208" s="44" t="n">
        <x:v>0</x:v>
      </x:c>
      <x:c r="Z208" s="44" t="n">
        <x:v>0.5705882352941176</x:v>
      </x:c>
      <x:c r="AA208" s="45" t="n">
        <x:v>0.4764705882352941</x:v>
      </x:c>
      <x:c r="AB208" s="45" t="n">
        <x:v>0.6529411764705882</x:v>
      </x:c>
      <x:c r="AC208" s="45" t="n">
        <x:v>0.3941176470588235</x:v>
      </x:c>
      <x:c r="AD208" s="44" t="n">
        <x:v>0.5705882352941176</x:v>
      </x:c>
      <x:c r="AE208" s="44" t="n">
        <x:v>0.611764705882353</x:v>
      </x:c>
      <x:c r="AF208" s="45" t="n">
        <x:v>0.5441176470588236</x:v>
      </x:c>
      <x:c r="AG208" s="45" t="n">
        <x:v>0.46078431372549017</x:v>
      </x:c>
      <x:c r="AH208" s="44" t="n">
        <x:v>0.5588235294117647</x:v>
      </x:c>
      <x:c r="AI208" s="44" t="n">
        <x:v>0.38235294117647056</x:v>
      </x:c>
      <x:c r="AJ208" s="45" t="n">
        <x:v>0.4411764705882353</x:v>
      </x:c>
      <x:c r="AK208" s="45" t="n">
        <x:v>0.3138888888888889</x:v>
      </x:c>
      <x:c r="AL208" s="45" t="n">
        <x:v>0.4395969498910675</x:v>
      </x:c>
      <x:c r="AM208" s="44" t="n">
        <x:v>0.5024509803921569</x:v>
      </x:c>
    </x:row>
    <x:row r="209" ht="15" hidden="0" customHeight="1">
      <x:c r="A209" s="44" t="str">
        <x:v>139-008</x:v>
      </x:c>
      <x:c r="B209" s="44" t="str">
        <x:v>Kalawan group of buildings</x:v>
      </x:c>
      <x:c r="C209" s="44" t="n">
        <x:v>1000</x:v>
      </x:c>
      <x:c r="D209" s="44" t="str">
        <x:v>E2024</x:v>
      </x:c>
      <x:c r="E209" s="44" t="n">
        <x:v>2024</x:v>
      </x:c>
      <x:c r="F209" s="44" t="n">
        <x:v>3498</x:v>
      </x:c>
      <x:c r="G209" s="45" t="n">
        <x:v>0.4688715934753418</x:v>
      </x:c>
      <x:c r="H209" s="44" t="n">
        <x:v>0.3180553615093231</x:v>
      </x:c>
      <x:c r="I209" s="44" t="n">
        <x:v>0.6041145920753479</x:v>
      </x:c>
      <x:c r="J209" s="45" t="n">
        <x:v>-0.07897971570491791</x:v>
      </x:c>
      <x:c r="K209" s="44" t="n">
        <x:v>-0.19003553688526154</x:v>
      </x:c>
      <x:c r="L209" s="44" t="n">
        <x:v>0.01159477885812521</x:v>
      </x:c>
      <x:c r="M209" s="45" t="n">
        <x:v>-0.42757222056388855</x:v>
      </x:c>
      <x:c r="N209" s="44" t="n">
        <x:v>-0.4741397500038147</x:v>
      </x:c>
      <x:c r="O209" s="44" t="n">
        <x:v>-0.3825644254684448</x:v>
      </x:c>
      <x:c r="P209" s="45" t="n">
        <x:v>0.0017530042678117752</x:v>
      </x:c>
      <x:c r="Q209" s="44" t="n">
        <x:v>-0.10759734362363815</x:v>
      </x:c>
      <x:c r="R209" s="44" t="n">
        <x:v>0.08557338267564774</x:v>
      </x:c>
      <x:c r="S209" s="44" t="n">
        <x:v>3498</x:v>
      </x:c>
      <x:c r="T209" s="44" t="n">
        <x:v>0.04859919954259577</x:v>
      </x:c>
      <x:c r="U209" s="44" t="n">
        <x:v>0.0065751858204688395</x:v>
      </x:c>
      <x:c r="V209" s="44" t="n">
        <x:v>0.400800457404231</x:v>
      </x:c>
      <x:c r="W209" s="44" t="n">
        <x:v>0.22612921669525443</x:v>
      </x:c>
      <x:c r="X209" s="44" t="n">
        <x:v>0.31789594053744996</x:v>
      </x:c>
      <x:c r="Y209" s="44" t="n">
        <x:v>0</x:v>
      </x:c>
      <x:c r="Z209" s="44" t="n">
        <x:v>0.28823529411764703</x:v>
      </x:c>
      <x:c r="AA209" s="45" t="n">
        <x:v>0.8176470588235294</x:v>
      </x:c>
      <x:c r="AB209" s="45" t="n">
        <x:v>0.3352941176470588</x:v>
      </x:c>
      <x:c r="AC209" s="45" t="n">
        <x:v>0.2411764705882353</x:v>
      </x:c>
      <x:c r="AD209" s="44" t="n">
        <x:v>0.37058823529411766</x:v>
      </x:c>
      <x:c r="AE209" s="44" t="n">
        <x:v>0.31176470588235294</x:v>
      </x:c>
      <x:c r="AF209" s="45" t="n">
        <x:v>0.5647058823529412</x:v>
      </x:c>
      <x:c r="AG209" s="45" t="n">
        <x:v>0.46078431372549017</x:v>
      </x:c>
      <x:c r="AH209" s="44" t="n">
        <x:v>0.5588235294117647</x:v>
      </x:c>
      <x:c r="AI209" s="44" t="n">
        <x:v>0.38235294117647056</x:v>
      </x:c>
      <x:c r="AJ209" s="45" t="n">
        <x:v>0.4411764705882353</x:v>
      </x:c>
      <x:c r="AK209" s="45" t="n">
        <x:v>0.5259259259259259</x:v>
      </x:c>
      <x:c r="AL209" s="45" t="n">
        <x:v>0.5171387073347857</x:v>
      </x:c>
      <x:c r="AM209" s="44" t="n">
        <x:v>0.5127450980392156</x:v>
      </x:c>
    </x:row>
    <x:row r="210" ht="15" hidden="0" customHeight="1">
      <x:c r="A210" s="44" t="str">
        <x:v>139-009</x:v>
      </x:c>
      <x:c r="B210" s="44" t="str">
        <x:v>Giri complex of monuments</x:v>
      </x:c>
      <x:c r="C210" s="44" t="n">
        <x:v>1000</x:v>
      </x:c>
      <x:c r="D210" s="44" t="str">
        <x:v>E2004</x:v>
      </x:c>
      <x:c r="E210" s="44" t="n">
        <x:v>2004</x:v>
      </x:c>
      <x:c r="F210" s="44" t="n">
        <x:v>3483</x:v>
      </x:c>
      <x:c r="G210" s="45" t="n">
        <x:v>0.5369659066200256</x:v>
      </x:c>
      <x:c r="H210" s="44" t="n">
        <x:v>0.42654523253440857</x:v>
      </x:c>
      <x:c r="I210" s="44" t="n">
        <x:v>0.620502769947052</x:v>
      </x:c>
      <x:c r="J210" s="45" t="n">
        <x:v>-0.16435956954956055</x:v>
      </x:c>
      <x:c r="K210" s="44" t="n">
        <x:v>-0.2827484905719757</x:v>
      </x:c>
      <x:c r="L210" s="44" t="n">
        <x:v>-0.03519869223237038</x:v>
      </x:c>
      <x:c r="M210" s="45" t="n">
        <x:v>-0.4176025092601776</x:v>
      </x:c>
      <x:c r="N210" s="44" t="n">
        <x:v>-0.47370296716690063</x:v>
      </x:c>
      <x:c r="O210" s="44" t="n">
        <x:v>-0.30027228593826294</x:v>
      </x:c>
      <x:c r="P210" s="45" t="n">
        <x:v>-0.08035790920257568</x:v>
      </x:c>
      <x:c r="Q210" s="44" t="n">
        <x:v>-0.1843426525592804</x:v>
      </x:c>
      <x:c r="R210" s="44" t="n">
        <x:v>0.04068494960665703</x:v>
      </x:c>
      <x:c r="S210" s="44" t="n">
        <x:v>3483</x:v>
      </x:c>
      <x:c r="T210" s="44" t="n">
        <x:v>0.012919896640826873</x:v>
      </x:c>
      <x:c r="U210" s="44" t="n">
        <x:v>0.0008613264427217916</x:v>
      </x:c>
      <x:c r="V210" s="44" t="n">
        <x:v>0.09244903818547229</x:v>
      </x:c>
      <x:c r="W210" s="44" t="n">
        <x:v>0.6256101062302613</x:v>
      </x:c>
      <x:c r="X210" s="44" t="n">
        <x:v>0.2681596325007178</x:v>
      </x:c>
      <x:c r="Y210" s="44" t="n">
        <x:v>0</x:v>
      </x:c>
      <x:c r="Z210" s="44" t="n">
        <x:v>0.08823529411764706</x:v>
      </x:c>
      <x:c r="AA210" s="45" t="n">
        <x:v>0.48823529411764705</x:v>
      </x:c>
      <x:c r="AB210" s="45" t="n">
        <x:v>0.06470588235294118</x:v>
      </x:c>
      <x:c r="AC210" s="45" t="n">
        <x:v>0.01764705882352941</x:v>
      </x:c>
      <x:c r="AD210" s="44" t="n">
        <x:v>0.12352941176470589</x:v>
      </x:c>
      <x:c r="AE210" s="44" t="n">
        <x:v>0.07647058823529412</x:v>
      </x:c>
      <x:c r="AF210" s="45" t="n">
        <x:v>0.2823529411764706</x:v>
      </x:c>
      <x:c r="AG210" s="45" t="n">
        <x:v>0.6568627450980392</x:v>
      </x:c>
      <x:c r="AH210" s="44" t="n">
        <x:v>0.9117647058823529</x:v>
      </x:c>
      <x:c r="AI210" s="44" t="n">
        <x:v>0.08823529411764706</x:v>
      </x:c>
      <x:c r="AJ210" s="45" t="n">
        <x:v>0.9705882352941176</x:v>
      </x:c>
      <x:c r="AK210" s="45" t="n">
        <x:v>0.5166666666666666</x:v>
      </x:c>
      <x:c r="AL210" s="45" t="n">
        <x:v>0.4852941176470588</x:v>
      </x:c>
      <x:c r="AM210" s="44" t="n">
        <x:v>0.4696078431372549</x:v>
      </x:c>
    </x:row>
    <x:row r="211" ht="15" hidden="0" customHeight="1">
      <x:c r="A211" s="44" t="str">
        <x:v>139-009</x:v>
      </x:c>
      <x:c r="B211" s="44" t="str">
        <x:v>Giri complex of monuments</x:v>
      </x:c>
      <x:c r="C211" s="44" t="n">
        <x:v>1000</x:v>
      </x:c>
      <x:c r="D211" s="44" t="str">
        <x:v>E2009</x:v>
      </x:c>
      <x:c r="E211" s="44" t="n">
        <x:v>2009</x:v>
      </x:c>
      <x:c r="F211" s="44" t="n">
        <x:v>3483</x:v>
      </x:c>
      <x:c r="G211" s="45" t="n">
        <x:v>0.4857774078845978</x:v>
      </x:c>
      <x:c r="H211" s="44" t="n">
        <x:v>0.3776792287826538</x:v>
      </x:c>
      <x:c r="I211" s="44" t="n">
        <x:v>0.5839329361915588</x:v>
      </x:c>
      <x:c r="J211" s="45" t="n">
        <x:v>-0.11747568100690842</x:v>
      </x:c>
      <x:c r="K211" s="44" t="n">
        <x:v>-0.24385592341423035</x:v>
      </x:c>
      <x:c r="L211" s="44" t="n">
        <x:v>-0.00048365123802796006</x:v>
      </x:c>
      <x:c r="M211" s="45" t="n">
        <x:v>-0.4184197783470154</x:v>
      </x:c>
      <x:c r="N211" s="44" t="n">
        <x:v>-0.47337135672569275</x:v>
      </x:c>
      <x:c r="O211" s="44" t="n">
        <x:v>-0.31911370158195496</x:v>
      </x:c>
      <x:c r="P211" s="45" t="n">
        <x:v>-0.039270225912332535</x:v>
      </x:c>
      <x:c r="Q211" s="44" t="n">
        <x:v>-0.1565006673336029</x:v>
      </x:c>
      <x:c r="R211" s="44" t="n">
        <x:v>0.07305998355150223</x:v>
      </x:c>
      <x:c r="S211" s="44" t="n">
        <x:v>3483</x:v>
      </x:c>
      <x:c r="T211" s="44" t="n">
        <x:v>0.03588860178007465</x:v>
      </x:c>
      <x:c r="U211" s="44" t="n">
        <x:v>0.001435544071202986</x:v>
      </x:c>
      <x:c r="V211" s="44" t="n">
        <x:v>0.16221648004593742</x:v>
      </x:c>
      <x:c r="W211" s="44" t="n">
        <x:v>0.4303761125466552</x:v>
      </x:c>
      <x:c r="X211" s="44" t="n">
        <x:v>0.37008326155612975</x:v>
      </x:c>
      <x:c r="Y211" s="44" t="n">
        <x:v>0</x:v>
      </x:c>
      <x:c r="Z211" s="44" t="n">
        <x:v>0.21764705882352942</x:v>
      </x:c>
      <x:c r="AA211" s="45" t="n">
        <x:v>0.5352941176470588</x:v>
      </x:c>
      <x:c r="AB211" s="45" t="n">
        <x:v>0.17058823529411765</x:v>
      </x:c>
      <x:c r="AC211" s="45" t="n">
        <x:v>0.14705882352941177</x:v>
      </x:c>
      <x:c r="AD211" s="44" t="n">
        <x:v>0.18823529411764706</x:v>
      </x:c>
      <x:c r="AE211" s="44" t="n">
        <x:v>0.19411764705882353</x:v>
      </x:c>
      <x:c r="AF211" s="45" t="n">
        <x:v>0.36470588235294116</x:v>
      </x:c>
      <x:c r="AG211" s="45" t="n">
        <x:v>0.6568627450980392</x:v>
      </x:c>
      <x:c r="AH211" s="44" t="n">
        <x:v>0.9117647058823529</x:v>
      </x:c>
      <x:c r="AI211" s="44" t="n">
        <x:v>0.08823529411764706</x:v>
      </x:c>
      <x:c r="AJ211" s="45" t="n">
        <x:v>0.9705882352941176</x:v>
      </x:c>
      <x:c r="AK211" s="45" t="n">
        <x:v>0.462037037037037</x:v>
      </x:c>
      <x:c r="AL211" s="45" t="n">
        <x:v>0.49453522149600576</x:v>
      </x:c>
      <x:c r="AM211" s="44" t="n">
        <x:v>0.5107843137254902</x:v>
      </x:c>
    </x:row>
    <x:row r="212" ht="15" hidden="0" customHeight="1">
      <x:c r="A212" s="44" t="str">
        <x:v>139-009</x:v>
      </x:c>
      <x:c r="B212" s="44" t="str">
        <x:v>Giri complex of monuments</x:v>
      </x:c>
      <x:c r="C212" s="44" t="n">
        <x:v>1000</x:v>
      </x:c>
      <x:c r="D212" s="44" t="str">
        <x:v>E2014</x:v>
      </x:c>
      <x:c r="E212" s="44" t="n">
        <x:v>2014</x:v>
      </x:c>
      <x:c r="F212" s="44" t="n">
        <x:v>3476</x:v>
      </x:c>
      <x:c r="G212" s="45" t="n">
        <x:v>0.5457407236099243</x:v>
      </x:c>
      <x:c r="H212" s="44" t="n">
        <x:v>0.4052826762199402</x:v>
      </x:c>
      <x:c r="I212" s="44" t="n">
        <x:v>0.7037315368652344</x:v>
      </x:c>
      <x:c r="J212" s="45" t="n">
        <x:v>-0.1687169373035431</x:v>
      </x:c>
      <x:c r="K212" s="44" t="n">
        <x:v>-0.3697075843811035</x:v>
      </x:c>
      <x:c r="L212" s="44" t="n">
        <x:v>-0.018019486218690872</x:v>
      </x:c>
      <x:c r="M212" s="45" t="n">
        <x:v>-0.43734368681907654</x:v>
      </x:c>
      <x:c r="N212" s="44" t="n">
        <x:v>-0.4881574511528015</x:v>
      </x:c>
      <x:c r="O212" s="44" t="n">
        <x:v>-0.1920873522758484</x:v>
      </x:c>
      <x:c r="P212" s="45" t="n">
        <x:v>-0.08604835718870163</x:v>
      </x:c>
      <x:c r="Q212" s="44" t="n">
        <x:v>-0.26292484998703003</x:v>
      </x:c>
      <x:c r="R212" s="44" t="n">
        <x:v>0.05714745074510574</x:v>
      </x:c>
      <x:c r="S212" s="44" t="n">
        <x:v>3476</x:v>
      </x:c>
      <x:c r="T212" s="44" t="n">
        <x:v>0.013521288837744535</x:v>
      </x:c>
      <x:c r="U212" s="44" t="n">
        <x:v>0.0031645569620253164</x:v>
      </x:c>
      <x:c r="V212" s="44" t="n">
        <x:v>0.0785385500575374</x:v>
      </x:c>
      <x:c r="W212" s="44" t="n">
        <x:v>0.5923475258918297</x:v>
      </x:c>
      <x:c r="X212" s="44" t="n">
        <x:v>0.31242807825086305</x:v>
      </x:c>
      <x:c r="Y212" s="44" t="n">
        <x:v>0</x:v>
      </x:c>
      <x:c r="Z212" s="44" t="n">
        <x:v>0.06470588235294118</x:v>
      </x:c>
      <x:c r="AA212" s="45" t="n">
        <x:v>0.9470588235294117</x:v>
      </x:c>
      <x:c r="AB212" s="45" t="n">
        <x:v>0.052941176470588235</x:v>
      </x:c>
      <x:c r="AC212" s="45" t="n">
        <x:v>0.029411764705882353</x:v>
      </x:c>
      <x:c r="AD212" s="44" t="n">
        <x:v>0.2529411764705882</x:v>
      </x:c>
      <x:c r="AE212" s="44" t="n">
        <x:v>0.058823529411764705</x:v>
      </x:c>
      <x:c r="AF212" s="45" t="n">
        <x:v>0.5029411764705882</x:v>
      </x:c>
      <x:c r="AG212" s="45" t="n">
        <x:v>0.6568627450980392</x:v>
      </x:c>
      <x:c r="AH212" s="44" t="n">
        <x:v>0.9117647058823529</x:v>
      </x:c>
      <x:c r="AI212" s="44" t="n">
        <x:v>0.08823529411764706</x:v>
      </x:c>
      <x:c r="AJ212" s="45" t="n">
        <x:v>0.9705882352941176</x:v>
      </x:c>
      <x:c r="AK212" s="45" t="n">
        <x:v>0.4842592592592592</x:v>
      </x:c>
      <x:c r="AL212" s="45" t="n">
        <x:v>0.5480210602759622</x:v>
      </x:c>
      <x:c r="AM212" s="44" t="n">
        <x:v>0.5799019607843137</x:v>
      </x:c>
    </x:row>
    <x:row r="213" ht="15" hidden="0" customHeight="1">
      <x:c r="A213" s="44" t="str">
        <x:v>139-009</x:v>
      </x:c>
      <x:c r="B213" s="44" t="str">
        <x:v>Giri complex of monuments</x:v>
      </x:c>
      <x:c r="C213" s="44" t="n">
        <x:v>1000</x:v>
      </x:c>
      <x:c r="D213" s="44" t="str">
        <x:v>E2019</x:v>
      </x:c>
      <x:c r="E213" s="44" t="n">
        <x:v>2019</x:v>
      </x:c>
      <x:c r="F213" s="44" t="n">
        <x:v>3462</x:v>
      </x:c>
      <x:c r="G213" s="45" t="n">
        <x:v>0.532585859298706</x:v>
      </x:c>
      <x:c r="H213" s="44" t="n">
        <x:v>0.3810482919216156</x:v>
      </x:c>
      <x:c r="I213" s="44" t="n">
        <x:v>0.6921337842941284</x:v>
      </x:c>
      <x:c r="J213" s="45" t="n">
        <x:v>-0.16083648800849915</x:v>
      </x:c>
      <x:c r="K213" s="44" t="n">
        <x:v>-0.3343012034893036</x:v>
      </x:c>
      <x:c r="L213" s="44" t="n">
        <x:v>-0.01882491633296013</x:v>
      </x:c>
      <x:c r="M213" s="45" t="n">
        <x:v>-0.4353877902030945</x:v>
      </x:c>
      <x:c r="N213" s="44" t="n">
        <x:v>-0.48534491658210754</x:v>
      </x:c>
      <x:c r="O213" s="44" t="n">
        <x:v>-0.2381068915128708</x:v>
      </x:c>
      <x:c r="P213" s="45" t="n">
        <x:v>-0.07690945267677307</x:v>
      </x:c>
      <x:c r="Q213" s="44" t="n">
        <x:v>-0.23860928416252136</x:v>
      </x:c>
      <x:c r="R213" s="44" t="n">
        <x:v>0.06055884808301926</x:v>
      </x:c>
      <x:c r="S213" s="44" t="n">
        <x:v>3462</x:v>
      </x:c>
      <x:c r="T213" s="44" t="n">
        <x:v>0.01848642403235124</x:v>
      </x:c>
      <x:c r="U213" s="44" t="n">
        <x:v>0.0031773541305603697</x:v>
      </x:c>
      <x:c r="V213" s="44" t="n">
        <x:v>0.08665511265164645</x:v>
      </x:c>
      <x:c r="W213" s="44" t="n">
        <x:v>0.5363951473136915</x:v>
      </x:c>
      <x:c r="X213" s="44" t="n">
        <x:v>0.35528596187175043</x:v>
      </x:c>
      <x:c r="Y213" s="44" t="n">
        <x:v>0</x:v>
      </x:c>
      <x:c r="Z213" s="44" t="n">
        <x:v>0.1</x:v>
      </x:c>
      <x:c r="AA213" s="45" t="n">
        <x:v>0.9352941176470588</x:v>
      </x:c>
      <x:c r="AB213" s="45" t="n">
        <x:v>0.11176470588235295</x:v>
      </x:c>
      <x:c r="AC213" s="45" t="n">
        <x:v>0.1</x:v>
      </x:c>
      <x:c r="AD213" s="44" t="n">
        <x:v>0.2647058823529412</x:v>
      </x:c>
      <x:c r="AE213" s="44" t="n">
        <x:v>0.10588235294117648</x:v>
      </x:c>
      <x:c r="AF213" s="45" t="n">
        <x:v>0.5205882352941177</x:v>
      </x:c>
      <x:c r="AG213" s="45" t="n">
        <x:v>0.6568627450980392</x:v>
      </x:c>
      <x:c r="AH213" s="44" t="n">
        <x:v>0.9117647058823529</x:v>
      </x:c>
      <x:c r="AI213" s="44" t="n">
        <x:v>0.08823529411764706</x:v>
      </x:c>
      <x:c r="AJ213" s="45" t="n">
        <x:v>0.9705882352941176</x:v>
      </x:c>
      <x:c r="AK213" s="45" t="n">
        <x:v>0.3138888888888889</x:v>
      </x:c>
      <x:c r="AL213" s="45" t="n">
        <x:v>0.4971132897603486</x:v>
      </x:c>
      <x:c r="AM213" s="44" t="n">
        <x:v>0.5887254901960784</x:v>
      </x:c>
    </x:row>
    <x:row r="214" ht="15" hidden="0" customHeight="1">
      <x:c r="A214" s="44" t="str">
        <x:v>139-009</x:v>
      </x:c>
      <x:c r="B214" s="44" t="str">
        <x:v>Giri complex of monuments</x:v>
      </x:c>
      <x:c r="C214" s="44" t="n">
        <x:v>1000</x:v>
      </x:c>
      <x:c r="D214" s="44" t="str">
        <x:v>E2024</x:v>
      </x:c>
      <x:c r="E214" s="44" t="n">
        <x:v>2024</x:v>
      </x:c>
      <x:c r="F214" s="44" t="n">
        <x:v>3475</x:v>
      </x:c>
      <x:c r="G214" s="45" t="n">
        <x:v>0.6348135471343994</x:v>
      </x:c>
      <x:c r="H214" s="44" t="n">
        <x:v>0.49277952313423157</x:v>
      </x:c>
      <x:c r="I214" s="44" t="n">
        <x:v>0.7285773754119873</x:v>
      </x:c>
      <x:c r="J214" s="45" t="n">
        <x:v>-0.21234090626239777</x:v>
      </x:c>
      <x:c r="K214" s="44" t="n">
        <x:v>-0.32304444909095764</x:v>
      </x:c>
      <x:c r="L214" s="44" t="n">
        <x:v>-0.082265205681324</x:v>
      </x:c>
      <x:c r="M214" s="45" t="n">
        <x:v>-0.4505937695503235</x:v>
      </x:c>
      <x:c r="N214" s="44" t="n">
        <x:v>-0.4873526990413666</x:v>
      </x:c>
      <x:c r="O214" s="44" t="n">
        <x:v>-0.3748834729194641</x:v>
      </x:c>
      <x:c r="P214" s="45" t="n">
        <x:v>-0.13157813251018524</x:v>
      </x:c>
      <x:c r="Q214" s="44" t="n">
        <x:v>-0.23811647295951843</x:v>
      </x:c>
      <x:c r="R214" s="44" t="n">
        <x:v>-0.00523736048489809</x:v>
      </x:c>
      <x:c r="S214" s="44" t="n">
        <x:v>3475</x:v>
      </x:c>
      <x:c r="T214" s="44" t="n">
        <x:v>0.011510791366906475</x:v>
      </x:c>
      <x:c r="U214" s="44" t="n">
        <x:v>0.0005755395683453237</x:v>
      </x:c>
      <x:c r="V214" s="44" t="n">
        <x:v>0.05611510791366906</x:v>
      </x:c>
      <x:c r="W214" s="44" t="n">
        <x:v>0.7807194244604316</x:v>
      </x:c>
      <x:c r="X214" s="44" t="n">
        <x:v>0.1510791366906475</x:v>
      </x:c>
      <x:c r="Y214" s="44" t="n">
        <x:v>0</x:v>
      </x:c>
      <x:c r="Z214" s="44" t="n">
        <x:v>0.0058823529411764705</x:v>
      </x:c>
      <x:c r="AA214" s="45" t="n">
        <x:v>0.9941176470588236</x:v>
      </x:c>
      <x:c r="AB214" s="45" t="n">
        <x:v>0.0058823529411764705</x:v>
      </x:c>
      <x:c r="AC214" s="45" t="n">
        <x:v>0.0058823529411764705</x:v>
      </x:c>
      <x:c r="AD214" s="44" t="n">
        <x:v>0.052941176470588235</x:v>
      </x:c>
      <x:c r="AE214" s="44" t="n">
        <x:v>0.0058823529411764705</x:v>
      </x:c>
      <x:c r="AF214" s="45" t="n">
        <x:v>0.5</x:v>
      </x:c>
      <x:c r="AG214" s="45" t="n">
        <x:v>0.6568627450980392</x:v>
      </x:c>
      <x:c r="AH214" s="44" t="n">
        <x:v>0.9117647058823529</x:v>
      </x:c>
      <x:c r="AI214" s="44" t="n">
        <x:v>0.08823529411764706</x:v>
      </x:c>
      <x:c r="AJ214" s="45" t="n">
        <x:v>0.9705882352941176</x:v>
      </x:c>
      <x:c r="AK214" s="45" t="n">
        <x:v>0.5259259259259259</x:v>
      </x:c>
      <x:c r="AL214" s="45" t="n">
        <x:v>0.5609295570079883</x:v>
      </x:c>
      <x:c r="AM214" s="44" t="n">
        <x:v>0.5784313725490196</x:v>
      </x:c>
    </x:row>
    <x:row r="215" ht="15" hidden="0" customHeight="1">
      <x:c r="A215" s="44" t="str">
        <x:v>139-010</x:v>
      </x:c>
      <x:c r="B215" s="44" t="str">
        <x:v>Kunala stupa and monastery</x:v>
      </x:c>
      <x:c r="C215" s="44" t="n">
        <x:v>1000</x:v>
      </x:c>
      <x:c r="D215" s="44" t="str">
        <x:v>E2004</x:v>
      </x:c>
      <x:c r="E215" s="44" t="n">
        <x:v>2004</x:v>
      </x:c>
      <x:c r="F215" s="44" t="n">
        <x:v>3496</x:v>
      </x:c>
      <x:c r="G215" s="45" t="n">
        <x:v>0.3397185206413269</x:v>
      </x:c>
      <x:c r="H215" s="44" t="n">
        <x:v>0.26117730140686035</x:v>
      </x:c>
      <x:c r="I215" s="44" t="n">
        <x:v>0.4332018196582794</x:v>
      </x:c>
      <x:c r="J215" s="45" t="n">
        <x:v>0.010651916265487671</x:v>
      </x:c>
      <x:c r="K215" s="44" t="n">
        <x:v>-0.08193321526050568</x:v>
      </x:c>
      <x:c r="L215" s="44" t="n">
        <x:v>0.06373138725757599</x:v>
      </x:c>
      <x:c r="M215" s="45" t="n">
        <x:v>-0.4216715693473816</x:v>
      </x:c>
      <x:c r="N215" s="44" t="n">
        <x:v>-0.4554951786994934</x:v>
      </x:c>
      <x:c r="O215" s="44" t="n">
        <x:v>-0.3848516047000885</x:v>
      </x:c>
      <x:c r="P215" s="45" t="n">
        <x:v>0.08810393512248993</x:v>
      </x:c>
      <x:c r="Q215" s="44" t="n">
        <x:v>0.0035527274012565613</x:v>
      </x:c>
      <x:c r="R215" s="44" t="n">
        <x:v>0.13802163302898407</x:v>
      </x:c>
      <x:c r="S215" s="44" t="n">
        <x:v>3496</x:v>
      </x:c>
      <x:c r="T215" s="44" t="n">
        <x:v>0.06664759725400457</x:v>
      </x:c>
      <x:c r="U215" s="44" t="n">
        <x:v>0.028890160183066362</x:v>
      </x:c>
      <x:c r="V215" s="44" t="n">
        <x:v>0.7005148741418764</x:v>
      </x:c>
      <x:c r="W215" s="44" t="n">
        <x:v>0.007723112128146453</x:v>
      </x:c>
      <x:c r="X215" s="44" t="n">
        <x:v>0.19622425629290619</x:v>
      </x:c>
      <x:c r="Y215" s="44" t="n">
        <x:v>0</x:v>
      </x:c>
      <x:c r="Z215" s="44" t="n">
        <x:v>0.8411764705882353</x:v>
      </x:c>
      <x:c r="AA215" s="45" t="n">
        <x:v>0.6294117647058823</x:v>
      </x:c>
      <x:c r="AB215" s="45" t="n">
        <x:v>0.9117647058823529</x:v>
      </x:c>
      <x:c r="AC215" s="45" t="n">
        <x:v>0.3</x:v>
      </x:c>
      <x:c r="AD215" s="44" t="n">
        <x:v>0.7</x:v>
      </x:c>
      <x:c r="AE215" s="44" t="n">
        <x:v>0.8764705882352941</x:v>
      </x:c>
      <x:c r="AF215" s="45" t="n">
        <x:v>0.7529411764705882</x:v>
      </x:c>
      <x:c r="AG215" s="45" t="n">
        <x:v>0.4411764705882353</x:v>
      </x:c>
      <x:c r="AH215" s="44" t="n">
        <x:v>0.5</x:v>
      </x:c>
      <x:c r="AI215" s="44" t="n">
        <x:v>0.5</x:v>
      </x:c>
      <x:c r="AJ215" s="45" t="n">
        <x:v>0.3235294117647059</x:v>
      </x:c>
      <x:c r="AK215" s="45" t="n">
        <x:v>0.5166666666666666</x:v>
      </x:c>
      <x:c r="AL215" s="45" t="n">
        <x:v>0.5702614379084967</x:v>
      </x:c>
      <x:c r="AM215" s="44" t="n">
        <x:v>0.5970588235294118</x:v>
      </x:c>
    </x:row>
    <x:row r="216" ht="15" hidden="0" customHeight="1">
      <x:c r="A216" s="44" t="str">
        <x:v>139-010</x:v>
      </x:c>
      <x:c r="B216" s="44" t="str">
        <x:v>Kunala stupa and monastery</x:v>
      </x:c>
      <x:c r="C216" s="44" t="n">
        <x:v>1000</x:v>
      </x:c>
      <x:c r="D216" s="44" t="str">
        <x:v>E2009</x:v>
      </x:c>
      <x:c r="E216" s="44" t="n">
        <x:v>2009</x:v>
      </x:c>
      <x:c r="F216" s="44" t="n">
        <x:v>3496</x:v>
      </x:c>
      <x:c r="G216" s="45" t="n">
        <x:v>0.3187647759914398</x:v>
      </x:c>
      <x:c r="H216" s="44" t="n">
        <x:v>0.2448197603225708</x:v>
      </x:c>
      <x:c r="I216" s="44" t="n">
        <x:v>0.41114798188209534</x:v>
      </x:c>
      <x:c r="J216" s="45" t="n">
        <x:v>0.020460329949855804</x:v>
      </x:c>
      <x:c r="K216" s="44" t="n">
        <x:v>-0.05840572342276573</x:v>
      </x:c>
      <x:c r="L216" s="44" t="n">
        <x:v>0.06925731897354126</x:v>
      </x:c>
      <x:c r="M216" s="45" t="n">
        <x:v>-0.41313454508781433</x:v>
      </x:c>
      <x:c r="N216" s="44" t="n">
        <x:v>-0.4489416480064392</x:v>
      </x:c>
      <x:c r="O216" s="44" t="n">
        <x:v>-0.3737296462059021</x:v>
      </x:c>
      <x:c r="P216" s="45" t="n">
        <x:v>0.09307622909545898</x:v>
      </x:c>
      <x:c r="Q216" s="44" t="n">
        <x:v>0.01823248155415058</x:v>
      </x:c>
      <x:c r="R216" s="44" t="n">
        <x:v>0.13828575611114502</x:v>
      </x:c>
      <x:c r="S216" s="44" t="n">
        <x:v>3496</x:v>
      </x:c>
      <x:c r="T216" s="44" t="n">
        <x:v>0.1312929061784897</x:v>
      </x:c>
      <x:c r="U216" s="44" t="n">
        <x:v>0.07465675057208238</x:v>
      </x:c>
      <x:c r="V216" s="44" t="n">
        <x:v>0.5995423340961098</x:v>
      </x:c>
      <x:c r="W216" s="44" t="n">
        <x:v>0.002860411899313501</x:v>
      </x:c>
      <x:c r="X216" s="44" t="n">
        <x:v>0.19164759725400457</x:v>
      </x:c>
      <x:c r="Y216" s="44" t="n">
        <x:v>0</x:v>
      </x:c>
      <x:c r="Z216" s="44" t="n">
        <x:v>0.9470588235294117</x:v>
      </x:c>
      <x:c r="AA216" s="45" t="n">
        <x:v>0.3235294117647059</x:v>
      </x:c>
      <x:c r="AB216" s="45" t="n">
        <x:v>0.9941176470588236</x:v>
      </x:c>
      <x:c r="AC216" s="45" t="n">
        <x:v>0.711764705882353</x:v>
      </x:c>
      <x:c r="AD216" s="44" t="n">
        <x:v>0.8764705882352941</x:v>
      </x:c>
      <x:c r="AE216" s="44" t="n">
        <x:v>0.9705882352941176</x:v>
      </x:c>
      <x:c r="AF216" s="45" t="n">
        <x:v>0.6470588235294118</x:v>
      </x:c>
      <x:c r="AG216" s="45" t="n">
        <x:v>0.4411764705882353</x:v>
      </x:c>
      <x:c r="AH216" s="44" t="n">
        <x:v>0.5</x:v>
      </x:c>
      <x:c r="AI216" s="44" t="n">
        <x:v>0.5</x:v>
      </x:c>
      <x:c r="AJ216" s="45" t="n">
        <x:v>0.3235294117647059</x:v>
      </x:c>
      <x:c r="AK216" s="45" t="n">
        <x:v>0.462037037037037</x:v>
      </x:c>
      <x:c r="AL216" s="45" t="n">
        <x:v>0.5167574437182281</x:v>
      </x:c>
      <x:c r="AM216" s="44" t="n">
        <x:v>0.5441176470588236</x:v>
      </x:c>
    </x:row>
    <x:row r="217" ht="15" hidden="0" customHeight="1">
      <x:c r="A217" s="44" t="str">
        <x:v>139-010</x:v>
      </x:c>
      <x:c r="B217" s="44" t="str">
        <x:v>Kunala stupa and monastery</x:v>
      </x:c>
      <x:c r="C217" s="44" t="n">
        <x:v>1000</x:v>
      </x:c>
      <x:c r="D217" s="44" t="str">
        <x:v>E2014</x:v>
      </x:c>
      <x:c r="E217" s="44" t="n">
        <x:v>2014</x:v>
      </x:c>
      <x:c r="F217" s="44" t="n">
        <x:v>3433</x:v>
      </x:c>
      <x:c r="G217" s="45" t="n">
        <x:v>0.33853062987327576</x:v>
      </x:c>
      <x:c r="H217" s="44" t="n">
        <x:v>0.24678754806518555</x:v>
      </x:c>
      <x:c r="I217" s="44" t="n">
        <x:v>0.4857347309589386</x:v>
      </x:c>
      <x:c r="J217" s="45" t="n">
        <x:v>0.01016667578369379</x:v>
      </x:c>
      <x:c r="K217" s="44" t="n">
        <x:v>-0.0942353829741478</x:v>
      </x:c>
      <x:c r="L217" s="44" t="n">
        <x:v>0.06983935087919235</x:v>
      </x:c>
      <x:c r="M217" s="45" t="n">
        <x:v>-0.4044061601161957</x:v>
      </x:c>
      <x:c r="N217" s="44" t="n">
        <x:v>-0.45341578125953674</x:v>
      </x:c>
      <x:c r="O217" s="44" t="n">
        <x:v>-0.36992213129997253</x:v>
      </x:c>
      <x:c r="P217" s="45" t="n">
        <x:v>0.08184465020895004</x:v>
      </x:c>
      <x:c r="Q217" s="44" t="n">
        <x:v>-0.014821972697973251</x:v>
      </x:c>
      <x:c r="R217" s="44" t="n">
        <x:v>0.1309504359960556</x:v>
      </x:c>
      <x:c r="S217" s="44" t="n">
        <x:v>3433</x:v>
      </x:c>
      <x:c r="T217" s="44" t="n">
        <x:v>0.13865423827556073</x:v>
      </x:c>
      <x:c r="U217" s="44" t="n">
        <x:v>0.03670259248470725</x:v>
      </x:c>
      <x:c r="V217" s="44" t="n">
        <x:v>0.5514127585202447</x:v>
      </x:c>
      <x:c r="W217" s="44" t="n">
        <x:v>0.04631517623070201</x:v>
      </x:c>
      <x:c r="X217" s="44" t="n">
        <x:v>0.2269152344887853</x:v>
      </x:c>
      <x:c r="Y217" s="44" t="n">
        <x:v>0</x:v>
      </x:c>
      <x:c r="Z217" s="44" t="n">
        <x:v>0.8529411764705882</x:v>
      </x:c>
      <x:c r="AA217" s="45" t="n">
        <x:v>0.1588235294117647</x:v>
      </x:c>
      <x:c r="AB217" s="45" t="n">
        <x:v>0.9</x:v>
      </x:c>
      <x:c r="AC217" s="45" t="n">
        <x:v>0.7235294117647059</x:v>
      </x:c>
      <x:c r="AD217" s="44" t="n">
        <x:v>0.7705882352941177</x:v>
      </x:c>
      <x:c r="AE217" s="44" t="n">
        <x:v>0.8764705882352941</x:v>
      </x:c>
      <x:c r="AF217" s="45" t="n">
        <x:v>0.5176470588235293</x:v>
      </x:c>
      <x:c r="AG217" s="45" t="n">
        <x:v>0.4411764705882353</x:v>
      </x:c>
      <x:c r="AH217" s="44" t="n">
        <x:v>0.5</x:v>
      </x:c>
      <x:c r="AI217" s="44" t="n">
        <x:v>0.5</x:v>
      </x:c>
      <x:c r="AJ217" s="45" t="n">
        <x:v>0.3235294117647059</x:v>
      </x:c>
      <x:c r="AK217" s="45" t="n">
        <x:v>0.4842592592592592</x:v>
      </x:c>
      <x:c r="AL217" s="45" t="n">
        <x:v>0.4810275962236746</x:v>
      </x:c>
      <x:c r="AM217" s="44" t="n">
        <x:v>0.4794117647058823</x:v>
      </x:c>
    </x:row>
    <x:row r="218" ht="15" hidden="0" customHeight="1">
      <x:c r="A218" s="44" t="str">
        <x:v>139-010</x:v>
      </x:c>
      <x:c r="B218" s="44" t="str">
        <x:v>Kunala stupa and monastery</x:v>
      </x:c>
      <x:c r="C218" s="44" t="n">
        <x:v>1000</x:v>
      </x:c>
      <x:c r="D218" s="44" t="str">
        <x:v>E2019</x:v>
      </x:c>
      <x:c r="E218" s="44" t="n">
        <x:v>2019</x:v>
      </x:c>
      <x:c r="F218" s="44" t="n">
        <x:v>3413</x:v>
      </x:c>
      <x:c r="G218" s="45" t="n">
        <x:v>0.3810482919216156</x:v>
      </x:c>
      <x:c r="H218" s="44" t="n">
        <x:v>0.28109660744667053</x:v>
      </x:c>
      <x:c r="I218" s="44" t="n">
        <x:v>0.5172736644744873</x:v>
      </x:c>
      <x:c r="J218" s="45" t="n">
        <x:v>-0.021652214229106903</x:v>
      </x:c>
      <x:c r="K218" s="44" t="n">
        <x:v>-0.12514261901378632</x:v>
      </x:c>
      <x:c r="L218" s="44" t="n">
        <x:v>0.03969377651810646</x:v>
      </x:c>
      <x:c r="M218" s="45" t="n">
        <x:v>-0.4097071588039398</x:v>
      </x:c>
      <x:c r="N218" s="44" t="n">
        <x:v>-0.45426884293556213</x:v>
      </x:c>
      <x:c r="O218" s="44" t="n">
        <x:v>-0.3660123646259308</x:v>
      </x:c>
      <x:c r="P218" s="45" t="n">
        <x:v>0.054059334099292755</x:v>
      </x:c>
      <x:c r="Q218" s="44" t="n">
        <x:v>-0.04073122888803482</x:v>
      </x:c>
      <x:c r="R218" s="44" t="n">
        <x:v>0.10747487843036652</x:v>
      </x:c>
      <x:c r="S218" s="44" t="n">
        <x:v>3413</x:v>
      </x:c>
      <x:c r="T218" s="44" t="n">
        <x:v>0.11866393202461178</x:v>
      </x:c>
      <x:c r="U218" s="44" t="n">
        <x:v>0.012305889246996778</x:v>
      </x:c>
      <x:c r="V218" s="44" t="n">
        <x:v>0.5774978025197773</x:v>
      </x:c>
      <x:c r="W218" s="44" t="n">
        <x:v>0.07383533548198067</x:v>
      </x:c>
      <x:c r="X218" s="44" t="n">
        <x:v>0.21769704072663346</x:v>
      </x:c>
      <x:c r="Y218" s="44" t="n">
        <x:v>0</x:v>
      </x:c>
      <x:c r="Z218" s="44" t="n">
        <x:v>0.6529411764705882</x:v>
      </x:c>
      <x:c r="AA218" s="45" t="n">
        <x:v>0.27647058823529413</x:v>
      </x:c>
      <x:c r="AB218" s="45" t="n">
        <x:v>0.6764705882352942</x:v>
      </x:c>
      <x:c r="AC218" s="45" t="n">
        <x:v>0.6882352941176471</x:v>
      </x:c>
      <x:c r="AD218" s="44" t="n">
        <x:v>0.5823529411764706</x:v>
      </x:c>
      <x:c r="AE218" s="44" t="n">
        <x:v>0.6647058823529413</x:v>
      </x:c>
      <x:c r="AF218" s="45" t="n">
        <x:v>0.4705882352941177</x:v>
      </x:c>
      <x:c r="AG218" s="45" t="n">
        <x:v>0.4411764705882353</x:v>
      </x:c>
      <x:c r="AH218" s="44" t="n">
        <x:v>0.5</x:v>
      </x:c>
      <x:c r="AI218" s="44" t="n">
        <x:v>0.5</x:v>
      </x:c>
      <x:c r="AJ218" s="45" t="n">
        <x:v>0.3235294117647059</x:v>
      </x:c>
      <x:c r="AK218" s="45" t="n">
        <x:v>0.3138888888888889</x:v>
      </x:c>
      <x:c r="AL218" s="45" t="n">
        <x:v>0.40855119825708064</x:v>
      </x:c>
      <x:c r="AM218" s="44" t="n">
        <x:v>0.4558823529411765</x:v>
      </x:c>
    </x:row>
    <x:row r="219" ht="15" hidden="0" customHeight="1">
      <x:c r="A219" s="44" t="str">
        <x:v>139-010</x:v>
      </x:c>
      <x:c r="B219" s="44" t="str">
        <x:v>Kunala stupa and monastery</x:v>
      </x:c>
      <x:c r="C219" s="44" t="n">
        <x:v>1000</x:v>
      </x:c>
      <x:c r="D219" s="44" t="str">
        <x:v>E2024</x:v>
      </x:c>
      <x:c r="E219" s="44" t="n">
        <x:v>2024</x:v>
      </x:c>
      <x:c r="F219" s="44" t="n">
        <x:v>3486</x:v>
      </x:c>
      <x:c r="G219" s="45" t="n">
        <x:v>0.43095147609710693</x:v>
      </x:c>
      <x:c r="H219" s="44" t="n">
        <x:v>0.285234272480011</x:v>
      </x:c>
      <x:c r="I219" s="44" t="n">
        <x:v>0.5713236331939697</x:v>
      </x:c>
      <x:c r="J219" s="45" t="n">
        <x:v>-0.05438455939292908</x:v>
      </x:c>
      <x:c r="K219" s="44" t="n">
        <x:v>-0.1592252552509308</x:v>
      </x:c>
      <x:c r="L219" s="44" t="n">
        <x:v>0.03859395906329155</x:v>
      </x:c>
      <x:c r="M219" s="45" t="n">
        <x:v>-0.4171920418739319</x:v>
      </x:c>
      <x:c r="N219" s="44" t="n">
        <x:v>-0.45994120836257935</x:v>
      </x:c>
      <x:c r="O219" s="44" t="n">
        <x:v>-0.37271323800086975</x:v>
      </x:c>
      <x:c r="P219" s="45" t="n">
        <x:v>0.023358654230833054</x:v>
      </x:c>
      <x:c r="Q219" s="44" t="n">
        <x:v>-0.07537296414375305</x:v>
      </x:c>
      <x:c r="R219" s="44" t="n">
        <x:v>0.10493935644626617</x:v>
      </x:c>
      <x:c r="S219" s="44" t="n">
        <x:v>3486</x:v>
      </x:c>
      <x:c r="T219" s="44" t="n">
        <x:v>0.10441767068273092</x:v>
      </x:c>
      <x:c r="U219" s="44" t="n">
        <x:v>0.00889271371199082</x:v>
      </x:c>
      <x:c r="V219" s="44" t="n">
        <x:v>0.49713138267355134</x:v>
      </x:c>
      <x:c r="W219" s="44" t="n">
        <x:v>0.14974182444061962</x:v>
      </x:c>
      <x:c r="X219" s="44" t="n">
        <x:v>0.23981640849110727</x:v>
      </x:c>
      <x:c r="Y219" s="44" t="n">
        <x:v>0</x:v>
      </x:c>
      <x:c r="Z219" s="44" t="n">
        <x:v>0.4176470588235294</x:v>
      </x:c>
      <x:c r="AA219" s="45" t="n">
        <x:v>0.45294117647058824</x:v>
      </x:c>
      <x:c r="AB219" s="45" t="n">
        <x:v>0.4411764705882353</x:v>
      </x:c>
      <x:c r="AC219" s="45" t="n">
        <x:v>0.5941176470588235</x:v>
      </x:c>
      <x:c r="AD219" s="44" t="n">
        <x:v>0.4764705882352941</x:v>
      </x:c>
      <x:c r="AE219" s="44" t="n">
        <x:v>0.4294117647058824</x:v>
      </x:c>
      <x:c r="AF219" s="45" t="n">
        <x:v>0.4411764705882353</x:v>
      </x:c>
      <x:c r="AG219" s="45" t="n">
        <x:v>0.4411764705882353</x:v>
      </x:c>
      <x:c r="AH219" s="44" t="n">
        <x:v>0.5</x:v>
      </x:c>
      <x:c r="AI219" s="44" t="n">
        <x:v>0.5</x:v>
      </x:c>
      <x:c r="AJ219" s="45" t="n">
        <x:v>0.3235294117647059</x:v>
      </x:c>
      <x:c r="AK219" s="45" t="n">
        <x:v>0.5259259259259259</x:v>
      </x:c>
      <x:c r="AL219" s="45" t="n">
        <x:v>0.46942628903413214</x:v>
      </x:c>
      <x:c r="AM219" s="44" t="n">
        <x:v>0.4411764705882353</x:v>
      </x:c>
    </x:row>
    <x:row r="220" ht="15" hidden="0" customHeight="1">
      <x:c r="A220" s="44" t="str">
        <x:v>139-011</x:v>
      </x:c>
      <x:c r="B220" s="44" t="str">
        <x:v>Jandial complex</x:v>
      </x:c>
      <x:c r="C220" s="44" t="n">
        <x:v>1000</x:v>
      </x:c>
      <x:c r="D220" s="44" t="str">
        <x:v>E2004</x:v>
      </x:c>
      <x:c r="E220" s="44" t="n">
        <x:v>2004</x:v>
      </x:c>
      <x:c r="F220" s="44" t="n">
        <x:v>3495</x:v>
      </x:c>
      <x:c r="G220" s="45" t="n">
        <x:v>0.3843028247356415</x:v>
      </x:c>
      <x:c r="H220" s="44" t="n">
        <x:v>0.2959546744823456</x:v>
      </x:c>
      <x:c r="I220" s="44" t="n">
        <x:v>0.4886060059070587</x:v>
      </x:c>
      <x:c r="J220" s="45" t="n">
        <x:v>-0.030444566160440445</x:v>
      </x:c>
      <x:c r="K220" s="44" t="n">
        <x:v>-0.1295756697654724</x:v>
      </x:c>
      <x:c r="L220" s="44" t="n">
        <x:v>0.037450160831213</x:v>
      </x:c>
      <x:c r="M220" s="45" t="n">
        <x:v>-0.41556134819984436</x:v>
      </x:c>
      <x:c r="N220" s="44" t="n">
        <x:v>-0.4464617073535919</x:v>
      </x:c>
      <x:c r="O220" s="44" t="n">
        <x:v>-0.37709760665893555</x:v>
      </x:c>
      <x:c r="P220" s="45" t="n">
        <x:v>0.04691315442323685</x:v>
      </x:c>
      <x:c r="Q220" s="44" t="n">
        <x:v>-0.04250408709049225</x:v>
      </x:c>
      <x:c r="R220" s="44" t="n">
        <x:v>0.10916057229042053</x:v>
      </x:c>
      <x:c r="S220" s="44" t="n">
        <x:v>3495</x:v>
      </x:c>
      <x:c r="T220" s="44" t="n">
        <x:v>0.08326180257510729</x:v>
      </x:c>
      <x:c r="U220" s="44" t="n">
        <x:v>0.0031473533619456365</x:v>
      </x:c>
      <x:c r="V220" s="44" t="n">
        <x:v>0.7648068669527897</x:v>
      </x:c>
      <x:c r="W220" s="44" t="n">
        <x:v>0.06638054363376251</x:v>
      </x:c>
      <x:c r="X220" s="44" t="n">
        <x:v>0.08240343347639485</x:v>
      </x:c>
      <x:c r="Y220" s="44" t="n">
        <x:v>0</x:v>
      </x:c>
      <x:c r="Z220" s="44" t="n">
        <x:v>0.6411764705882353</x:v>
      </x:c>
      <x:c r="AA220" s="45" t="n">
        <x:v>0.4176470588235294</x:v>
      </x:c>
      <x:c r="AB220" s="45" t="n">
        <x:v>0.5823529411764706</x:v>
      </x:c>
      <x:c r="AC220" s="45" t="n">
        <x:v>0.45294117647058824</x:v>
      </x:c>
      <x:c r="AD220" s="44" t="n">
        <x:v>0.22941176470588234</x:v>
      </x:c>
      <x:c r="AE220" s="44" t="n">
        <x:v>0.611764705882353</x:v>
      </x:c>
      <x:c r="AF220" s="45" t="n">
        <x:v>0.5147058823529412</x:v>
      </x:c>
      <x:c r="AG220" s="45" t="n">
        <x:v>0.46078431372549017</x:v>
      </x:c>
      <x:c r="AH220" s="44" t="n">
        <x:v>0.20588235294117646</x:v>
      </x:c>
      <x:c r="AI220" s="44" t="n">
        <x:v>0.7941176470588235</x:v>
      </x:c>
      <x:c r="AJ220" s="45" t="n">
        <x:v>0.38235294117647056</x:v>
      </x:c>
      <x:c r="AK220" s="45" t="n">
        <x:v>0.5166666666666666</x:v>
      </x:c>
      <x:c r="AL220" s="45" t="n">
        <x:v>0.4973856209150327</x:v>
      </x:c>
      <x:c r="AM220" s="44" t="n">
        <x:v>0.48774509803921573</x:v>
      </x:c>
    </x:row>
    <x:row r="221" ht="15" hidden="0" customHeight="1">
      <x:c r="A221" s="44" t="str">
        <x:v>139-011</x:v>
      </x:c>
      <x:c r="B221" s="44" t="str">
        <x:v>Jandial complex</x:v>
      </x:c>
      <x:c r="C221" s="44" t="n">
        <x:v>1000</x:v>
      </x:c>
      <x:c r="D221" s="44" t="str">
        <x:v>E2009</x:v>
      </x:c>
      <x:c r="E221" s="44" t="n">
        <x:v>2009</x:v>
      </x:c>
      <x:c r="F221" s="44" t="n">
        <x:v>3495</x:v>
      </x:c>
      <x:c r="G221" s="45" t="n">
        <x:v>0.36142411828041077</x:v>
      </x:c>
      <x:c r="H221" s="44" t="n">
        <x:v>0.2740158140659332</x:v>
      </x:c>
      <x:c r="I221" s="44" t="n">
        <x:v>0.45505785942077637</x:v>
      </x:c>
      <x:c r="J221" s="45" t="n">
        <x:v>-0.019508473575115204</x:v>
      </x:c>
      <x:c r="K221" s="44" t="n">
        <x:v>-0.09767413139343262</x:v>
      </x:c>
      <x:c r="L221" s="44" t="n">
        <x:v>0.039692871272563934</x:v>
      </x:c>
      <x:c r="M221" s="45" t="n">
        <x:v>-0.4058336317539215</x:v>
      </x:c>
      <x:c r="N221" s="44" t="n">
        <x:v>-0.4368739426136017</x:v>
      </x:c>
      <x:c r="O221" s="44" t="n">
        <x:v>-0.36406344175338745</x:v>
      </x:c>
      <x:c r="P221" s="45" t="n">
        <x:v>0.055255789309740067</x:v>
      </x:c>
      <x:c r="Q221" s="44" t="n">
        <x:v>-0.018202755600214005</x:v>
      </x:c>
      <x:c r="R221" s="44" t="n">
        <x:v>0.10885229706764221</x:v>
      </x:c>
      <x:c r="S221" s="44" t="n">
        <x:v>3495</x:v>
      </x:c>
      <x:c r="T221" s="44" t="n">
        <x:v>0.19141630901287554</x:v>
      </x:c>
      <x:c r="U221" s="44" t="n">
        <x:v>0.010014306151645207</x:v>
      </x:c>
      <x:c r="V221" s="44" t="n">
        <x:v>0.7141630901287553</x:v>
      </x:c>
      <x:c r="W221" s="44" t="n">
        <x:v>0.022317596566523604</x:v>
      </x:c>
      <x:c r="X221" s="44" t="n">
        <x:v>0.06208869814020029</x:v>
      </x:c>
      <x:c r="Y221" s="44" t="n">
        <x:v>0</x:v>
      </x:c>
      <x:c r="Z221" s="44" t="n">
        <x:v>0.711764705882353</x:v>
      </x:c>
      <x:c r="AA221" s="45" t="n">
        <x:v>0.18235294117647058</x:v>
      </x:c>
      <x:c r="AB221" s="45" t="n">
        <x:v>0.6882352941176471</x:v>
      </x:c>
      <x:c r="AC221" s="45" t="n">
        <x:v>0.7823529411764706</x:v>
      </x:c>
      <x:c r="AD221" s="44" t="n">
        <x:v>0.5352941176470588</x:v>
      </x:c>
      <x:c r="AE221" s="44" t="n">
        <x:v>0.7</x:v>
      </x:c>
      <x:c r="AF221" s="45" t="n">
        <x:v>0.4411764705882353</x:v>
      </x:c>
      <x:c r="AG221" s="45" t="n">
        <x:v>0.46078431372549017</x:v>
      </x:c>
      <x:c r="AH221" s="44" t="n">
        <x:v>0.20588235294117646</x:v>
      </x:c>
      <x:c r="AI221" s="44" t="n">
        <x:v>0.7941176470588235</x:v>
      </x:c>
      <x:c r="AJ221" s="45" t="n">
        <x:v>0.38235294117647056</x:v>
      </x:c>
      <x:c r="AK221" s="45" t="n">
        <x:v>0.462037037037037</x:v>
      </x:c>
      <x:c r="AL221" s="45" t="n">
        <x:v>0.45466594045025416</x:v>
      </x:c>
      <x:c r="AM221" s="44" t="n">
        <x:v>0.4509803921568627</x:v>
      </x:c>
    </x:row>
    <x:row r="222" ht="15" hidden="0" customHeight="1">
      <x:c r="A222" s="44" t="str">
        <x:v>139-011</x:v>
      </x:c>
      <x:c r="B222" s="44" t="str">
        <x:v>Jandial complex</x:v>
      </x:c>
      <x:c r="C222" s="44" t="n">
        <x:v>1000</x:v>
      </x:c>
      <x:c r="D222" s="44" t="str">
        <x:v>E2014</x:v>
      </x:c>
      <x:c r="E222" s="44" t="n">
        <x:v>2014</x:v>
      </x:c>
      <x:c r="F222" s="44" t="n">
        <x:v>3424</x:v>
      </x:c>
      <x:c r="G222" s="45" t="n">
        <x:v>0.3871411681175232</x:v>
      </x:c>
      <x:c r="H222" s="44" t="n">
        <x:v>0.2724967896938324</x:v>
      </x:c>
      <x:c r="I222" s="44" t="n">
        <x:v>0.5103801488876343</x:v>
      </x:c>
      <x:c r="J222" s="45" t="n">
        <x:v>-0.02561555989086628</x:v>
      </x:c>
      <x:c r="K222" s="44" t="n">
        <x:v>-0.12451927363872528</x:v>
      </x:c>
      <x:c r="L222" s="44" t="n">
        <x:v>0.042824894189834595</x:v>
      </x:c>
      <x:c r="M222" s="45" t="n">
        <x:v>-0.4034312963485718</x:v>
      </x:c>
      <x:c r="N222" s="44" t="n">
        <x:v>-0.44626888632774353</x:v>
      </x:c>
      <x:c r="O222" s="44" t="n">
        <x:v>-0.35492172837257385</x:v>
      </x:c>
      <x:c r="P222" s="45" t="n">
        <x:v>0.047849755734205246</x:v>
      </x:c>
      <x:c r="Q222" s="44" t="n">
        <x:v>-0.04035406932234764</x:v>
      </x:c>
      <x:c r="R222" s="44" t="n">
        <x:v>0.10869497805833817</x:v>
      </x:c>
      <x:c r="S222" s="44" t="n">
        <x:v>3424</x:v>
      </x:c>
      <x:c r="T222" s="44" t="n">
        <x:v>0.22780373831775702</x:v>
      </x:c>
      <x:c r="U222" s="44" t="n">
        <x:v>0.004672897196261682</x:v>
      </x:c>
      <x:c r="V222" s="44" t="n">
        <x:v>0.5554906542056075</x:v>
      </x:c>
      <x:c r="W222" s="44" t="n">
        <x:v>0.08820093457943926</x:v>
      </x:c>
      <x:c r="X222" s="44" t="n">
        <x:v>0.12383177570093458</x:v>
      </x:c>
      <x:c r="Y222" s="44" t="n">
        <x:v>0</x:v>
      </x:c>
      <x:c r="Z222" s="44" t="n">
        <x:v>0.6058823529411764</x:v>
      </x:c>
      <x:c r="AA222" s="45" t="n">
        <x:v>0.14705882352941177</x:v>
      </x:c>
      <x:c r="AB222" s="45" t="n">
        <x:v>0.6647058823529411</x:v>
      </x:c>
      <x:c r="AC222" s="45" t="n">
        <x:v>0.8411764705882353</x:v>
      </x:c>
      <x:c r="AD222" s="44" t="n">
        <x:v>0.3235294117647059</x:v>
      </x:c>
      <x:c r="AE222" s="44" t="n">
        <x:v>0.6352941176470588</x:v>
      </x:c>
      <x:c r="AF222" s="45" t="n">
        <x:v>0.3911764705882353</x:v>
      </x:c>
      <x:c r="AG222" s="45" t="n">
        <x:v>0.46078431372549017</x:v>
      </x:c>
      <x:c r="AH222" s="44" t="n">
        <x:v>0.20588235294117646</x:v>
      </x:c>
      <x:c r="AI222" s="44" t="n">
        <x:v>0.7941176470588235</x:v>
      </x:c>
      <x:c r="AJ222" s="45" t="n">
        <x:v>0.38235294117647056</x:v>
      </x:c>
      <x:c r="AK222" s="45" t="n">
        <x:v>0.4842592592592592</x:v>
      </x:c>
      <x:c r="AL222" s="45" t="n">
        <x:v>0.4454066811909949</x:v>
      </x:c>
      <x:c r="AM222" s="44" t="n">
        <x:v>0.42598039215686273</x:v>
      </x:c>
    </x:row>
    <x:row r="223" ht="15" hidden="0" customHeight="1">
      <x:c r="A223" s="44" t="str">
        <x:v>139-011</x:v>
      </x:c>
      <x:c r="B223" s="44" t="str">
        <x:v>Jandial complex</x:v>
      </x:c>
      <x:c r="C223" s="44" t="n">
        <x:v>1000</x:v>
      </x:c>
      <x:c r="D223" s="44" t="str">
        <x:v>E2019</x:v>
      </x:c>
      <x:c r="E223" s="44" t="n">
        <x:v>2019</x:v>
      </x:c>
      <x:c r="F223" s="44" t="n">
        <x:v>3415</x:v>
      </x:c>
      <x:c r="G223" s="45" t="n">
        <x:v>0.40106549859046936</x:v>
      </x:c>
      <x:c r="H223" s="44" t="n">
        <x:v>0.274158239364624</x:v>
      </x:c>
      <x:c r="I223" s="44" t="n">
        <x:v>0.5486794114112854</x:v>
      </x:c>
      <x:c r="J223" s="45" t="n">
        <x:v>-0.04110729694366455</x:v>
      </x:c>
      <x:c r="K223" s="44" t="n">
        <x:v>-0.16951881349086761</x:v>
      </x:c>
      <x:c r="L223" s="44" t="n">
        <x:v>0.030081141740083694</x:v>
      </x:c>
      <x:c r="M223" s="45" t="n">
        <x:v>-0.39748895168304443</x:v>
      </x:c>
      <x:c r="N223" s="44" t="n">
        <x:v>-0.4417768716812134</x:v>
      </x:c>
      <x:c r="O223" s="44" t="n">
        <x:v>-0.3360484838485718</x:v>
      </x:c>
      <x:c r="P223" s="45" t="n">
        <x:v>0.03647415712475777</x:v>
      </x:c>
      <x:c r="Q223" s="44" t="n">
        <x:v>-0.0770605131983757</x:v>
      </x:c>
      <x:c r="R223" s="44" t="n">
        <x:v>0.09881320595741272</x:v>
      </x:c>
      <x:c r="S223" s="44" t="n">
        <x:v>3415</x:v>
      </x:c>
      <x:c r="T223" s="44" t="n">
        <x:v>0.2890190336749634</x:v>
      </x:c>
      <x:c r="U223" s="44" t="n">
        <x:v>0.0005856515373352855</x:v>
      </x:c>
      <x:c r="V223" s="44" t="n">
        <x:v>0.48872620790629573</x:v>
      </x:c>
      <x:c r="W223" s="44" t="n">
        <x:v>0.1411420204978038</x:v>
      </x:c>
      <x:c r="X223" s="44" t="n">
        <x:v>0.08052708638360176</x:v>
      </x:c>
      <x:c r="Y223" s="44" t="n">
        <x:v>0</x:v>
      </x:c>
      <x:c r="Z223" s="44" t="n">
        <x:v>0.48823529411764705</x:v>
      </x:c>
      <x:c r="AA223" s="45" t="n">
        <x:v>0.07647058823529412</x:v>
      </x:c>
      <x:c r="AB223" s="45" t="n">
        <x:v>0.5235294117647059</x:v>
      </x:c>
      <x:c r="AC223" s="45" t="n">
        <x:v>0.9352941176470588</x:v>
      </x:c>
      <x:c r="AD223" s="44" t="n">
        <x:v>0.07647058823529412</x:v>
      </x:c>
      <x:c r="AE223" s="44" t="n">
        <x:v>0.5058823529411764</x:v>
      </x:c>
      <x:c r="AF223" s="45" t="n">
        <x:v>0.29117647058823526</x:v>
      </x:c>
      <x:c r="AG223" s="45" t="n">
        <x:v>0.46078431372549017</x:v>
      </x:c>
      <x:c r="AH223" s="44" t="n">
        <x:v>0.20588235294117646</x:v>
      </x:c>
      <x:c r="AI223" s="44" t="n">
        <x:v>0.7941176470588235</x:v>
      </x:c>
      <x:c r="AJ223" s="45" t="n">
        <x:v>0.38235294117647056</x:v>
      </x:c>
      <x:c r="AK223" s="45" t="n">
        <x:v>0.3138888888888889</x:v>
      </x:c>
      <x:c r="AL223" s="45" t="n">
        <x:v>0.35528322440087146</x:v>
      </x:c>
      <x:c r="AM223" s="44" t="n">
        <x:v>0.37598039215686274</x:v>
      </x:c>
    </x:row>
    <x:row r="224" ht="15" hidden="0" customHeight="1">
      <x:c r="A224" s="44" t="str">
        <x:v>139-011</x:v>
      </x:c>
      <x:c r="B224" s="44" t="str">
        <x:v>Jandial complex</x:v>
      </x:c>
      <x:c r="C224" s="44" t="n">
        <x:v>1000</x:v>
      </x:c>
      <x:c r="D224" s="44" t="str">
        <x:v>E2024</x:v>
      </x:c>
      <x:c r="E224" s="44" t="n">
        <x:v>2024</x:v>
      </x:c>
      <x:c r="F224" s="44" t="n">
        <x:v>3483</x:v>
      </x:c>
      <x:c r="G224" s="45" t="n">
        <x:v>0.43959352374076843</x:v>
      </x:c>
      <x:c r="H224" s="44" t="n">
        <x:v>0.29679688811302185</x:v>
      </x:c>
      <x:c r="I224" s="44" t="n">
        <x:v>0.5698922872543335</x:v>
      </x:c>
      <x:c r="J224" s="45" t="n">
        <x:v>-0.06506317853927612</x:v>
      </x:c>
      <x:c r="K224" s="44" t="n">
        <x:v>-0.16568590700626373</x:v>
      </x:c>
      <x:c r="L224" s="44" t="n">
        <x:v>0.018604228273034096</x:v>
      </x:c>
      <x:c r="M224" s="45" t="n">
        <x:v>-0.40925484895706177</x:v>
      </x:c>
      <x:c r="N224" s="44" t="n">
        <x:v>-0.4555748999118805</x:v>
      </x:c>
      <x:c r="O224" s="44" t="n">
        <x:v>-0.348341166973114</x:v>
      </x:c>
      <x:c r="P224" s="45" t="n">
        <x:v>0.012225904501974583</x:v>
      </x:c>
      <x:c r="Q224" s="44" t="n">
        <x:v>-0.08086150139570236</x:v>
      </x:c>
      <x:c r="R224" s="44" t="n">
        <x:v>0.08700739592313766</x:v>
      </x:c>
      <x:c r="S224" s="44" t="n">
        <x:v>3483</x:v>
      </x:c>
      <x:c r="T224" s="44" t="n">
        <x:v>0.20987654320987653</x:v>
      </x:c>
      <x:c r="U224" s="44" t="n">
        <x:v>0.0017226528854435831</x:v>
      </x:c>
      <x:c r="V224" s="44" t="n">
        <x:v>0.5162216480045937</x:v>
      </x:c>
      <x:c r="W224" s="44" t="n">
        <x:v>0.16020671834625322</x:v>
      </x:c>
      <x:c r="X224" s="44" t="n">
        <x:v>0.1119724375538329</x:v>
      </x:c>
      <x:c r="Y224" s="44" t="n">
        <x:v>0</x:v>
      </x:c>
      <x:c r="Z224" s="44" t="n">
        <x:v>0.3588235294117647</x:v>
      </x:c>
      <x:c r="AA224" s="45" t="n">
        <x:v>0.2647058823529412</x:v>
      </x:c>
      <x:c r="AB224" s="45" t="n">
        <x:v>0.4176470588235294</x:v>
      </x:c>
      <x:c r="AC224" s="45" t="n">
        <x:v>0.8058823529411765</x:v>
      </x:c>
      <x:c r="AD224" s="44" t="n">
        <x:v>0.20588235294117646</x:v>
      </x:c>
      <x:c r="AE224" s="44" t="n">
        <x:v>0.38823529411764707</x:v>
      </x:c>
      <x:c r="AF224" s="45" t="n">
        <x:v>0.3264705882352941</x:v>
      </x:c>
      <x:c r="AG224" s="45" t="n">
        <x:v>0.46078431372549017</x:v>
      </x:c>
      <x:c r="AH224" s="44" t="n">
        <x:v>0.20588235294117646</x:v>
      </x:c>
      <x:c r="AI224" s="44" t="n">
        <x:v>0.7941176470588235</x:v>
      </x:c>
      <x:c r="AJ224" s="45" t="n">
        <x:v>0.38235294117647056</x:v>
      </x:c>
      <x:c r="AK224" s="45" t="n">
        <x:v>0.5259259259259259</x:v>
      </x:c>
      <x:c r="AL224" s="45" t="n">
        <x:v>0.43772694262890344</x:v>
      </x:c>
      <x:c r="AM224" s="44" t="n">
        <x:v>0.39362745098039215</x:v>
      </x:c>
    </x:row>
    <x:row r="225" ht="15" hidden="0" customHeight="1">
      <x:c r="A225" s="44" t="str">
        <x:v>139-012</x:v>
      </x:c>
      <x:c r="B225" s="44" t="str">
        <x:v>Lalchak and Badalpur Buddhist stuppa</x:v>
      </x:c>
      <x:c r="C225" s="44" t="n">
        <x:v>1000</x:v>
      </x:c>
      <x:c r="D225" s="44" t="str">
        <x:v>E2004</x:v>
      </x:c>
      <x:c r="E225" s="44" t="n">
        <x:v>2004</x:v>
      </x:c>
      <x:c r="F225" s="44" t="n">
        <x:v>3488</x:v>
      </x:c>
      <x:c r="G225" s="45" t="n">
        <x:v>0.465667188167572</x:v>
      </x:c>
      <x:c r="H225" s="44" t="n">
        <x:v>0.32819700241088867</x:v>
      </x:c>
      <x:c r="I225" s="44" t="n">
        <x:v>0.5495324730873108</x:v>
      </x:c>
      <x:c r="J225" s="45" t="n">
        <x:v>-0.09766804426908493</x:v>
      </x:c>
      <x:c r="K225" s="44" t="n">
        <x:v>-0.17319947481155396</x:v>
      </x:c>
      <x:c r="L225" s="44" t="n">
        <x:v>-0.002954507479444146</x:v>
      </x:c>
      <x:c r="M225" s="45" t="n">
        <x:v>-0.41725754737854004</x:v>
      </x:c>
      <x:c r="N225" s="44" t="n">
        <x:v>-0.4415695071220398</x:v>
      </x:c>
      <x:c r="O225" s="44" t="n">
        <x:v>-0.3760147988796234</x:v>
      </x:c>
      <x:c r="P225" s="45" t="n">
        <x:v>-0.012695744633674622</x:v>
      </x:c>
      <x:c r="Q225" s="44" t="n">
        <x:v>-0.08620964735746384</x:v>
      </x:c>
      <x:c r="R225" s="44" t="n">
        <x:v>0.07502838224172592</x:v>
      </x:c>
      <x:c r="S225" s="44" t="n">
        <x:v>3488</x:v>
      </x:c>
      <x:c r="T225" s="44" t="n">
        <x:v>0.09059633027522936</x:v>
      </x:c>
      <x:c r="U225" s="44" t="n">
        <x:v>0.0045871559633027525</x:v>
      </x:c>
      <x:c r="V225" s="44" t="n">
        <x:v>0.4506880733944954</x:v>
      </x:c>
      <x:c r="W225" s="44" t="n">
        <x:v>0.31565366972477066</x:v>
      </x:c>
      <x:c r="X225" s="44" t="n">
        <x:v>0.13618119266055045</x:v>
      </x:c>
      <x:c r="Y225" s="44" t="n">
        <x:v>0.0022935779816513763</x:v>
      </x:c>
      <x:c r="Z225" s="44" t="n">
        <x:v>0.31176470588235294</x:v>
      </x:c>
      <x:c r="AA225" s="45" t="n">
        <x:v>0.4647058823529412</x:v>
      </x:c>
      <x:c r="AB225" s="45" t="n">
        <x:v>0.2529411764705882</x:v>
      </x:c>
      <x:c r="AC225" s="45" t="n">
        <x:v>0.5352941176470588</x:v>
      </x:c>
      <x:c r="AD225" s="44" t="n">
        <x:v>0.31176470588235294</x:v>
      </x:c>
      <x:c r="AE225" s="44" t="n">
        <x:v>0.2823529411764706</x:v>
      </x:c>
      <x:c r="AF225" s="45" t="n">
        <x:v>0.3735294117647059</x:v>
      </x:c>
      <x:c r="AG225" s="45" t="n">
        <x:v>0.392156862745098</x:v>
      </x:c>
      <x:c r="AH225" s="44" t="n">
        <x:v>0.11764705882352941</x:v>
      </x:c>
      <x:c r="AI225" s="44" t="n">
        <x:v>0.9117647058823529</x:v>
      </x:c>
      <x:c r="AJ225" s="45" t="n">
        <x:v>0.14705882352941177</x:v>
      </x:c>
      <x:c r="AK225" s="45" t="n">
        <x:v>0.5166666666666666</x:v>
      </x:c>
      <x:c r="AL225" s="45" t="n">
        <x:v>0.42745098039215684</x:v>
      </x:c>
      <x:c r="AM225" s="44" t="n">
        <x:v>0.38284313725490193</x:v>
      </x:c>
    </x:row>
    <x:row r="226" ht="15" hidden="0" customHeight="1">
      <x:c r="A226" s="44" t="str">
        <x:v>139-012</x:v>
      </x:c>
      <x:c r="B226" s="44" t="str">
        <x:v>Lalchak and Badalpur Buddhist stuppa</x:v>
      </x:c>
      <x:c r="C226" s="44" t="n">
        <x:v>1000</x:v>
      </x:c>
      <x:c r="D226" s="44" t="str">
        <x:v>E2009</x:v>
      </x:c>
      <x:c r="E226" s="44" t="n">
        <x:v>2009</x:v>
      </x:c>
      <x:c r="F226" s="44" t="n">
        <x:v>3488</x:v>
      </x:c>
      <x:c r="G226" s="45" t="n">
        <x:v>0.4754302501678467</x:v>
      </x:c>
      <x:c r="H226" s="44" t="n">
        <x:v>0.3512222468852997</x:v>
      </x:c>
      <x:c r="I226" s="44" t="n">
        <x:v>0.5518617033958435</x:v>
      </x:c>
      <x:c r="J226" s="45" t="n">
        <x:v>-0.11058579385280609</x:v>
      </x:c>
      <x:c r="K226" s="44" t="n">
        <x:v>-0.18135157227516174</x:v>
      </x:c>
      <x:c r="L226" s="44" t="n">
        <x:v>-0.01570993661880493</x:v>
      </x:c>
      <x:c r="M226" s="45" t="n">
        <x:v>-0.4135856628417969</x:v>
      </x:c>
      <x:c r="N226" s="44" t="n">
        <x:v>-0.4398491382598877</x:v>
      </x:c>
      <x:c r="O226" s="44" t="n">
        <x:v>-0.3749394416809082</x:v>
      </x:c>
      <x:c r="P226" s="45" t="n">
        <x:v>-0.02840568870306015</x:v>
      </x:c>
      <x:c r="Q226" s="44" t="n">
        <x:v>-0.09759943187236786</x:v>
      </x:c>
      <x:c r="R226" s="44" t="n">
        <x:v>0.05917249619960785</x:v>
      </x:c>
      <x:c r="S226" s="44" t="n">
        <x:v>3488</x:v>
      </x:c>
      <x:c r="T226" s="44" t="n">
        <x:v>0.0845756880733945</x:v>
      </x:c>
      <x:c r="U226" s="44" t="n">
        <x:v>0.008887614678899083</x:v>
      </x:c>
      <x:c r="V226" s="44" t="n">
        <x:v>0.5341169724770642</x:v>
      </x:c>
      <x:c r="W226" s="44" t="n">
        <x:v>0.2666284403669725</x:v>
      </x:c>
      <x:c r="X226" s="44" t="n">
        <x:v>0.10579128440366972</x:v>
      </x:c>
      <x:c r="Y226" s="44" t="n">
        <x:v>0</x:v>
      </x:c>
      <x:c r="Z226" s="44" t="n">
        <x:v>0.27647058823529413</x:v>
      </x:c>
      <x:c r="AA226" s="45" t="n">
        <x:v>0.34705882352941175</x:v>
      </x:c>
      <x:c r="AB226" s="45" t="n">
        <x:v>0.19411764705882353</x:v>
      </x:c>
      <x:c r="AC226" s="45" t="n">
        <x:v>0.48823529411764705</x:v>
      </x:c>
      <x:c r="AD226" s="44" t="n">
        <x:v>0.4647058823529412</x:v>
      </x:c>
      <x:c r="AE226" s="44" t="n">
        <x:v>0.23529411764705882</x:v>
      </x:c>
      <x:c r="AF226" s="45" t="n">
        <x:v>0.29117647058823526</x:v>
      </x:c>
      <x:c r="AG226" s="45" t="n">
        <x:v>0.392156862745098</x:v>
      </x:c>
      <x:c r="AH226" s="44" t="n">
        <x:v>0.11764705882352941</x:v>
      </x:c>
      <x:c r="AI226" s="44" t="n">
        <x:v>0.9117647058823529</x:v>
      </x:c>
      <x:c r="AJ226" s="45" t="n">
        <x:v>0.14705882352941177</x:v>
      </x:c>
      <x:c r="AK226" s="45" t="n">
        <x:v>0.462037037037037</x:v>
      </x:c>
      <x:c r="AL226" s="45" t="n">
        <x:v>0.38179012345679003</x:v>
      </x:c>
      <x:c r="AM226" s="44" t="n">
        <x:v>0.3416666666666666</x:v>
      </x:c>
    </x:row>
    <x:row r="227" ht="15" hidden="0" customHeight="1">
      <x:c r="A227" s="44" t="str">
        <x:v>139-012</x:v>
      </x:c>
      <x:c r="B227" s="44" t="str">
        <x:v>Lalchak and Badalpur Buddhist stuppa</x:v>
      </x:c>
      <x:c r="C227" s="44" t="n">
        <x:v>1000</x:v>
      </x:c>
      <x:c r="D227" s="44" t="str">
        <x:v>E2014</x:v>
      </x:c>
      <x:c r="E227" s="44" t="n">
        <x:v>2014</x:v>
      </x:c>
      <x:c r="F227" s="44" t="n">
        <x:v>3341</x:v>
      </x:c>
      <x:c r="G227" s="45" t="n">
        <x:v>0.5219039916992188</x:v>
      </x:c>
      <x:c r="H227" s="44" t="n">
        <x:v>0.35818716883659363</x:v>
      </x:c>
      <x:c r="I227" s="44" t="n">
        <x:v>0.6612104177474976</x:v>
      </x:c>
      <x:c r="J227" s="45" t="n">
        <x:v>-0.13144278526306152</x:v>
      </x:c>
      <x:c r="K227" s="44" t="n">
        <x:v>-0.26179733872413635</x:v>
      </x:c>
      <x:c r="L227" s="44" t="n">
        <x:v>-0.00415821373462677</x:v>
      </x:c>
      <x:c r="M227" s="45" t="n">
        <x:v>-0.42220374941825867</x:v>
      </x:c>
      <x:c r="N227" s="44" t="n">
        <x:v>-0.4481935203075409</x:v>
      </x:c>
      <x:c r="O227" s="44" t="n">
        <x:v>-0.3854001760482788</x:v>
      </x:c>
      <x:c r="P227" s="45" t="n">
        <x:v>-0.045195091515779495</x:v>
      </x:c>
      <x:c r="Q227" s="44" t="n">
        <x:v>-0.17538496851921082</x:v>
      </x:c>
      <x:c r="R227" s="44" t="n">
        <x:v>0.07134831696748734</x:v>
      </x:c>
      <x:c r="S227" s="44" t="n">
        <x:v>3341</x:v>
      </x:c>
      <x:c r="T227" s="44" t="n">
        <x:v>0.06884166417240348</x:v>
      </x:c>
      <x:c r="U227" s="44" t="n">
        <x:v>0.008081412750673452</x:v>
      </x:c>
      <x:c r="V227" s="44" t="n">
        <x:v>0.2666866207722239</x:v>
      </x:c>
      <x:c r="W227" s="44" t="n">
        <x:v>0.5441484585453457</x:v>
      </x:c>
      <x:c r="X227" s="44" t="n">
        <x:v>0.11224184375935349</x:v>
      </x:c>
      <x:c r="Y227" s="44" t="n">
        <x:v>0</x:v>
      </x:c>
      <x:c r="Z227" s="44" t="n">
        <x:v>0.13529411764705881</x:v>
      </x:c>
      <x:c r="AA227" s="45" t="n">
        <x:v>0.6764705882352942</x:v>
      </x:c>
      <x:c r="AB227" s="45" t="n">
        <x:v>0.13529411764705881</x:v>
      </x:c>
      <x:c r="AC227" s="45" t="n">
        <x:v>0.3352941176470588</x:v>
      </x:c>
      <x:c r="AD227" s="44" t="n">
        <x:v>0.4294117647058823</x:v>
      </x:c>
      <x:c r="AE227" s="44" t="n">
        <x:v>0.13529411764705881</x:v>
      </x:c>
      <x:c r="AF227" s="45" t="n">
        <x:v>0.40588235294117647</x:v>
      </x:c>
      <x:c r="AG227" s="45" t="n">
        <x:v>0.392156862745098</x:v>
      </x:c>
      <x:c r="AH227" s="44" t="n">
        <x:v>0.11764705882352941</x:v>
      </x:c>
      <x:c r="AI227" s="44" t="n">
        <x:v>0.9117647058823529</x:v>
      </x:c>
      <x:c r="AJ227" s="45" t="n">
        <x:v>0.14705882352941177</x:v>
      </x:c>
      <x:c r="AK227" s="45" t="n">
        <x:v>0.4842592592592592</x:v>
      </x:c>
      <x:c r="AL227" s="45" t="n">
        <x:v>0.4274328249818446</x:v>
      </x:c>
      <x:c r="AM227" s="44" t="n">
        <x:v>0.3990196078431372</x:v>
      </x:c>
    </x:row>
    <x:row r="228" ht="15" hidden="0" customHeight="1">
      <x:c r="A228" s="44" t="str">
        <x:v>139-012</x:v>
      </x:c>
      <x:c r="B228" s="44" t="str">
        <x:v>Lalchak and Badalpur Buddhist stuppa</x:v>
      </x:c>
      <x:c r="C228" s="44" t="n">
        <x:v>1000</x:v>
      </x:c>
      <x:c r="D228" s="44" t="str">
        <x:v>E2019</x:v>
      </x:c>
      <x:c r="E228" s="44" t="n">
        <x:v>2019</x:v>
      </x:c>
      <x:c r="F228" s="44" t="n">
        <x:v>3324</x:v>
      </x:c>
      <x:c r="G228" s="45" t="n">
        <x:v>0.5466647744178772</x:v>
      </x:c>
      <x:c r="H228" s="44" t="n">
        <x:v>0.378558874130249</x:v>
      </x:c>
      <x:c r="I228" s="44" t="n">
        <x:v>0.6849358081817627</x:v>
      </x:c>
      <x:c r="J228" s="45" t="n">
        <x:v>-0.17081576585769653</x:v>
      </x:c>
      <x:c r="K228" s="44" t="n">
        <x:v>-0.28991323709487915</x:v>
      </x:c>
      <x:c r="L228" s="44" t="n">
        <x:v>-0.03742753714323044</x:v>
      </x:c>
      <x:c r="M228" s="45" t="n">
        <x:v>-0.4156478941440582</x:v>
      </x:c>
      <x:c r="N228" s="44" t="n">
        <x:v>-0.44062888622283936</x:v>
      </x:c>
      <x:c r="O228" s="44" t="n">
        <x:v>-0.3696959912776947</x:v>
      </x:c>
      <x:c r="P228" s="45" t="n">
        <x:v>-0.07760775089263916</x:v>
      </x:c>
      <x:c r="Q228" s="44" t="n">
        <x:v>-0.2026483118534088</x:v>
      </x:c>
      <x:c r="R228" s="44" t="n">
        <x:v>0.04277975112199783</x:v>
      </x:c>
      <x:c r="S228" s="44" t="n">
        <x:v>3324</x:v>
      </x:c>
      <x:c r="T228" s="44" t="n">
        <x:v>0.08634175691937425</x:v>
      </x:c>
      <x:c r="U228" s="44" t="n">
        <x:v>0.011131167268351384</x:v>
      </x:c>
      <x:c r="V228" s="44" t="n">
        <x:v>0.22683513838748495</x:v>
      </x:c>
      <x:c r="W228" s="44" t="n">
        <x:v>0.6212394705174489</x:v>
      </x:c>
      <x:c r="X228" s="44" t="n">
        <x:v>0.054452466907340555</x:v>
      </x:c>
      <x:c r="Y228" s="44" t="n">
        <x:v>0</x:v>
      </x:c>
      <x:c r="Z228" s="44" t="n">
        <x:v>0.052941176470588235</x:v>
      </x:c>
      <x:c r="AA228" s="45" t="n">
        <x:v>0.4294117647058823</x:v>
      </x:c>
      <x:c r="AB228" s="45" t="n">
        <x:v>0.041176470588235294</x:v>
      </x:c>
      <x:c r="AC228" s="45" t="n">
        <x:v>0.5</x:v>
      </x:c>
      <x:c r="AD228" s="44" t="n">
        <x:v>0.5470588235294118</x:v>
      </x:c>
      <x:c r="AE228" s="44" t="n">
        <x:v>0.047058823529411764</x:v>
      </x:c>
      <x:c r="AF228" s="45" t="n">
        <x:v>0.23823529411764705</x:v>
      </x:c>
      <x:c r="AG228" s="45" t="n">
        <x:v>0.392156862745098</x:v>
      </x:c>
      <x:c r="AH228" s="44" t="n">
        <x:v>0.11764705882352941</x:v>
      </x:c>
      <x:c r="AI228" s="44" t="n">
        <x:v>0.9117647058823529</x:v>
      </x:c>
      <x:c r="AJ228" s="45" t="n">
        <x:v>0.14705882352941177</x:v>
      </x:c>
      <x:c r="AK228" s="45" t="n">
        <x:v>0.3138888888888889</x:v>
      </x:c>
      <x:c r="AL228" s="45" t="n">
        <x:v>0.31476034858387797</x:v>
      </x:c>
      <x:c r="AM228" s="44" t="n">
        <x:v>0.31519607843137254</x:v>
      </x:c>
    </x:row>
    <x:row r="229" ht="15" hidden="0" customHeight="1">
      <x:c r="A229" s="44" t="str">
        <x:v>139-012</x:v>
      </x:c>
      <x:c r="B229" s="44" t="str">
        <x:v>Lalchak and Badalpur Buddhist stuppa</x:v>
      </x:c>
      <x:c r="C229" s="44" t="n">
        <x:v>1000</x:v>
      </x:c>
      <x:c r="D229" s="44" t="str">
        <x:v>E2024</x:v>
      </x:c>
      <x:c r="E229" s="44" t="n">
        <x:v>2024</x:v>
      </x:c>
      <x:c r="F229" s="44" t="n">
        <x:v>3406</x:v>
      </x:c>
      <x:c r="G229" s="45" t="n">
        <x:v>0.5682411193847656</x:v>
      </x:c>
      <x:c r="H229" s="44" t="n">
        <x:v>0.41644540429115295</x:v>
      </x:c>
      <x:c r="I229" s="44" t="n">
        <x:v>0.6766722202301025</x:v>
      </x:c>
      <x:c r="J229" s="45" t="n">
        <x:v>-0.1615520417690277</x:v>
      </x:c>
      <x:c r="K229" s="44" t="n">
        <x:v>-0.2627451419830322</x:v>
      </x:c>
      <x:c r="L229" s="44" t="n">
        <x:v>-0.054172854870557785</x:v>
      </x:c>
      <x:c r="M229" s="45" t="n">
        <x:v>-0.4384450614452362</x:v>
      </x:c>
      <x:c r="N229" s="44" t="n">
        <x:v>-0.4629771113395691</x:v>
      </x:c>
      <x:c r="O229" s="44" t="n">
        <x:v>-0.3881629705429077</x:v>
      </x:c>
      <x:c r="P229" s="45" t="n">
        <x:v>-0.07704927027225494</x:v>
      </x:c>
      <x:c r="Q229" s="44" t="n">
        <x:v>-0.17980079352855682</x:v>
      </x:c>
      <x:c r="R229" s="44" t="n">
        <x:v>0.02436361089348793</x:v>
      </x:c>
      <x:c r="S229" s="44" t="n">
        <x:v>3406</x:v>
      </x:c>
      <x:c r="T229" s="44" t="n">
        <x:v>0.05226071638285379</x:v>
      </x:c>
      <x:c r="U229" s="44" t="n">
        <x:v>0.0008807985907222549</x:v>
      </x:c>
      <x:c r="V229" s="44" t="n">
        <x:v>0.24251321197886083</x:v>
      </x:c>
      <x:c r="W229" s="44" t="n">
        <x:v>0.585143863769818</x:v>
      </x:c>
      <x:c r="X229" s="44" t="n">
        <x:v>0.11920140927774515</x:v>
      </x:c>
      <x:c r="Y229" s="44" t="n">
        <x:v>0</x:v>
      </x:c>
      <x:c r="Z229" s="44" t="n">
        <x:v>0.029411764705882353</x:v>
      </x:c>
      <x:c r="AA229" s="45" t="n">
        <x:v>0.9705882352941176</x:v>
      </x:c>
      <x:c r="AB229" s="45" t="n">
        <x:v>0.1</x:v>
      </x:c>
      <x:c r="AC229" s="45" t="n">
        <x:v>0.2647058823529412</x:v>
      </x:c>
      <x:c r="AD229" s="44" t="n">
        <x:v>0.13529411764705881</x:v>
      </x:c>
      <x:c r="AE229" s="44" t="n">
        <x:v>0.06470588235294118</x:v>
      </x:c>
      <x:c r="AF229" s="45" t="n">
        <x:v>0.5176470588235295</x:v>
      </x:c>
      <x:c r="AG229" s="45" t="n">
        <x:v>0.392156862745098</x:v>
      </x:c>
      <x:c r="AH229" s="44" t="n">
        <x:v>0.11764705882352941</x:v>
      </x:c>
      <x:c r="AI229" s="44" t="n">
        <x:v>0.9117647058823529</x:v>
      </x:c>
      <x:c r="AJ229" s="45" t="n">
        <x:v>0.14705882352941177</x:v>
      </x:c>
      <x:c r="AK229" s="45" t="n">
        <x:v>0.5259259259259259</x:v>
      </x:c>
      <x:c r="AL229" s="45" t="n">
        <x:v>0.47857661583151784</x:v>
      </x:c>
      <x:c r="AM229" s="44" t="n">
        <x:v>0.4549019607843137</x:v>
      </x:c>
    </x:row>
    <x:row r="230" ht="15" hidden="0" customHeight="1">
      <x:c r="A230" s="44" t="str">
        <x:v>139-013</x:v>
      </x:c>
      <x:c r="B230" s="44" t="str">
        <x:v>Mohra Moradu stupa and monastery</x:v>
      </x:c>
      <x:c r="C230" s="44" t="n">
        <x:v>1000</x:v>
      </x:c>
      <x:c r="D230" s="44" t="str">
        <x:v>E2004</x:v>
      </x:c>
      <x:c r="E230" s="44" t="n">
        <x:v>2004</x:v>
      </x:c>
      <x:c r="F230" s="44" t="n">
        <x:v>3493</x:v>
      </x:c>
      <x:c r="G230" s="45" t="n">
        <x:v>0.38552093505859375</x:v>
      </x:c>
      <x:c r="H230" s="44" t="n">
        <x:v>0.32559624314308167</x:v>
      </x:c>
      <x:c r="I230" s="44" t="n">
        <x:v>0.47651392221450806</x:v>
      </x:c>
      <x:c r="J230" s="45" t="n">
        <x:v>-0.027398552745580673</x:v>
      </x:c>
      <x:c r="K230" s="44" t="n">
        <x:v>-0.12505751848220825</x:v>
      </x:c>
      <x:c r="L230" s="44" t="n">
        <x:v>0.0379965715110302</x:v>
      </x:c>
      <x:c r="M230" s="45" t="n">
        <x:v>-0.42680639028549194</x:v>
      </x:c>
      <x:c r="N230" s="44" t="n">
        <x:v>-0.4761858582496643</x:v>
      </x:c>
      <x:c r="O230" s="44" t="n">
        <x:v>-0.3561403155326843</x:v>
      </x:c>
      <x:c r="P230" s="45" t="n">
        <x:v>0.05332198366522789</x:v>
      </x:c>
      <x:c r="Q230" s="44" t="n">
        <x:v>-0.033245015889406204</x:v>
      </x:c>
      <x:c r="R230" s="44" t="n">
        <x:v>0.11144442856311798</x:v>
      </x:c>
      <x:c r="S230" s="44" t="n">
        <x:v>3493</x:v>
      </x:c>
      <x:c r="T230" s="44" t="n">
        <x:v>0.06670483824792442</x:v>
      </x:c>
      <x:c r="U230" s="44" t="n">
        <x:v>0.009161179501860864</x:v>
      </x:c>
      <x:c r="V230" s="44" t="n">
        <x:v>0.38505582593758947</x:v>
      </x:c>
      <x:c r="W230" s="44" t="n">
        <x:v>0.0698539937016891</x:v>
      </x:c>
      <x:c r="X230" s="44" t="n">
        <x:v>0.46922416261093614</x:v>
      </x:c>
      <x:c r="Y230" s="44" t="n">
        <x:v>0</x:v>
      </x:c>
      <x:c r="Z230" s="44" t="n">
        <x:v>0.6176470588235294</x:v>
      </x:c>
      <x:c r="AA230" s="45" t="n">
        <x:v>0.7823529411764706</x:v>
      </x:c>
      <x:c r="AB230" s="45" t="n">
        <x:v>0.5941176470588235</x:v>
      </x:c>
      <x:c r="AC230" s="45" t="n">
        <x:v>0.31176470588235294</x:v>
      </x:c>
      <x:c r="AD230" s="44" t="n">
        <x:v>0.5058823529411764</x:v>
      </x:c>
      <x:c r="AE230" s="44" t="n">
        <x:v>0.6058823529411765</x:v>
      </x:c>
      <x:c r="AF230" s="45" t="n">
        <x:v>0.6941176470588235</x:v>
      </x:c>
      <x:c r="AG230" s="45" t="n">
        <x:v>0.5392156862745098</x:v>
      </x:c>
      <x:c r="AH230" s="44" t="n">
        <x:v>0.7352941176470589</x:v>
      </x:c>
      <x:c r="AI230" s="44" t="n">
        <x:v>0.14705882352941177</x:v>
      </x:c>
      <x:c r="AJ230" s="45" t="n">
        <x:v>0.7352941176470589</x:v>
      </x:c>
      <x:c r="AK230" s="45" t="n">
        <x:v>0.5166666666666666</x:v>
      </x:c>
      <x:c r="AL230" s="45" t="n">
        <x:v>0.5833333333333334</x:v>
      </x:c>
      <x:c r="AM230" s="44" t="n">
        <x:v>0.6166666666666667</x:v>
      </x:c>
    </x:row>
    <x:row r="231" ht="15" hidden="0" customHeight="1">
      <x:c r="A231" s="44" t="str">
        <x:v>139-013</x:v>
      </x:c>
      <x:c r="B231" s="44" t="str">
        <x:v>Mohra Moradu stupa and monastery</x:v>
      </x:c>
      <x:c r="C231" s="44" t="n">
        <x:v>1000</x:v>
      </x:c>
      <x:c r="D231" s="44" t="str">
        <x:v>E2009</x:v>
      </x:c>
      <x:c r="E231" s="44" t="n">
        <x:v>2009</x:v>
      </x:c>
      <x:c r="F231" s="44" t="n">
        <x:v>3493</x:v>
      </x:c>
      <x:c r="G231" s="45" t="n">
        <x:v>0.37986284494400024</x:v>
      </x:c>
      <x:c r="H231" s="44" t="n">
        <x:v>0.3034595549106598</x:v>
      </x:c>
      <x:c r="I231" s="44" t="n">
        <x:v>0.4757198095321655</x:v>
      </x:c>
      <x:c r="J231" s="45" t="n">
        <x:v>-0.026860525831580162</x:v>
      </x:c>
      <x:c r="K231" s="44" t="n">
        <x:v>-0.11732182651758194</x:v>
      </x:c>
      <x:c r="L231" s="44" t="n">
        <x:v>0.05286034569144249</x:v>
      </x:c>
      <x:c r="M231" s="45" t="n">
        <x:v>-0.424327552318573</x:v>
      </x:c>
      <x:c r="N231" s="44" t="n">
        <x:v>-0.47089141607284546</x:v>
      </x:c>
      <x:c r="O231" s="44" t="n">
        <x:v>-0.3654952645301819</x:v>
      </x:c>
      <x:c r="P231" s="45" t="n">
        <x:v>0.05051865428686142</x:v>
      </x:c>
      <x:c r="Q231" s="44" t="n">
        <x:v>-0.035654157400131226</x:v>
      </x:c>
      <x:c r="R231" s="44" t="n">
        <x:v>0.12413839995861053</x:v>
      </x:c>
      <x:c r="S231" s="44" t="n">
        <x:v>3493</x:v>
      </x:c>
      <x:c r="T231" s="44" t="n">
        <x:v>0.10764385914686515</x:v>
      </x:c>
      <x:c r="U231" s="44" t="n">
        <x:v>0.0031491554537646724</x:v>
      </x:c>
      <x:c r="V231" s="44" t="n">
        <x:v>0.4314342971657601</x:v>
      </x:c>
      <x:c r="W231" s="44" t="n">
        <x:v>0.07243057543658746</x:v>
      </x:c>
      <x:c r="X231" s="44" t="n">
        <x:v>0.38534211279702263</x:v>
      </x:c>
      <x:c r="Y231" s="44" t="n">
        <x:v>0</x:v>
      </x:c>
      <x:c r="Z231" s="44" t="n">
        <x:v>0.6647058823529411</x:v>
      </x:c>
      <x:c r="AA231" s="45" t="n">
        <x:v>0.7352941176470589</x:v>
      </x:c>
      <x:c r="AB231" s="45" t="n">
        <x:v>0.6294117647058823</x:v>
      </x:c>
      <x:c r="AC231" s="45" t="n">
        <x:v>0.6176470588235294</x:v>
      </x:c>
      <x:c r="AD231" s="44" t="n">
        <x:v>0.2411764705882353</x:v>
      </x:c>
      <x:c r="AE231" s="44" t="n">
        <x:v>0.6470588235294117</x:v>
      </x:c>
      <x:c r="AF231" s="45" t="n">
        <x:v>0.6911764705882353</x:v>
      </x:c>
      <x:c r="AG231" s="45" t="n">
        <x:v>0.5392156862745098</x:v>
      </x:c>
      <x:c r="AH231" s="44" t="n">
        <x:v>0.7352941176470589</x:v>
      </x:c>
      <x:c r="AI231" s="44" t="n">
        <x:v>0.14705882352941177</x:v>
      </x:c>
      <x:c r="AJ231" s="45" t="n">
        <x:v>0.7352941176470589</x:v>
      </x:c>
      <x:c r="AK231" s="45" t="n">
        <x:v>0.462037037037037</x:v>
      </x:c>
      <x:c r="AL231" s="45" t="n">
        <x:v>0.5641430646332607</x:v>
      </x:c>
      <x:c r="AM231" s="44" t="n">
        <x:v>0.6151960784313726</x:v>
      </x:c>
    </x:row>
    <x:row r="232" ht="15" hidden="0" customHeight="1">
      <x:c r="A232" s="44" t="str">
        <x:v>139-013</x:v>
      </x:c>
      <x:c r="B232" s="44" t="str">
        <x:v>Mohra Moradu stupa and monastery</x:v>
      </x:c>
      <x:c r="C232" s="44" t="n">
        <x:v>1000</x:v>
      </x:c>
      <x:c r="D232" s="44" t="str">
        <x:v>E2014</x:v>
      </x:c>
      <x:c r="E232" s="44" t="n">
        <x:v>2014</x:v>
      </x:c>
      <x:c r="F232" s="44" t="n">
        <x:v>3490</x:v>
      </x:c>
      <x:c r="G232" s="45" t="n">
        <x:v>0.3970367908477783</x:v>
      </x:c>
      <x:c r="H232" s="44" t="n">
        <x:v>0.31290295720100403</x:v>
      </x:c>
      <x:c r="I232" s="44" t="n">
        <x:v>0.5533335208892822</x:v>
      </x:c>
      <x:c r="J232" s="45" t="n">
        <x:v>-0.033197879791259766</x:v>
      </x:c>
      <x:c r="K232" s="44" t="n">
        <x:v>-0.15955989062786102</x:v>
      </x:c>
      <x:c r="L232" s="44" t="n">
        <x:v>0.052596449851989746</x:v>
      </x:c>
      <x:c r="M232" s="45" t="n">
        <x:v>-0.42729508876800537</x:v>
      </x:c>
      <x:c r="N232" s="44" t="n">
        <x:v>-0.470632404088974</x:v>
      </x:c>
      <x:c r="O232" s="44" t="n">
        <x:v>-0.3567849397659302</x:v>
      </x:c>
      <x:c r="P232" s="45" t="n">
        <x:v>0.04491855204105377</x:v>
      </x:c>
      <x:c r="Q232" s="44" t="n">
        <x:v>-0.07180935889482498</x:v>
      </x:c>
      <x:c r="R232" s="44" t="n">
        <x:v>0.11396646499633789</x:v>
      </x:c>
      <x:c r="S232" s="44" t="n">
        <x:v>3490</x:v>
      </x:c>
      <x:c r="T232" s="44" t="n">
        <x:v>0.048137535816618914</x:v>
      </x:c>
      <x:c r="U232" s="44" t="n">
        <x:v>0.016332378223495703</x:v>
      </x:c>
      <x:c r="V232" s="44" t="n">
        <x:v>0.29914040114613183</x:v>
      </x:c>
      <x:c r="W232" s="44" t="n">
        <x:v>0.14040114613180515</x:v>
      </x:c>
      <x:c r="X232" s="44" t="n">
        <x:v>0.4959885386819484</x:v>
      </x:c>
      <x:c r="Y232" s="44" t="n">
        <x:v>0</x:v>
      </x:c>
      <x:c r="Z232" s="44" t="n">
        <x:v>0.5235294117647059</x:v>
      </x:c>
      <x:c r="AA232" s="45" t="n">
        <x:v>0.7941176470588235</x:v>
      </x:c>
      <x:c r="AB232" s="45" t="n">
        <x:v>0.5588235294117647</x:v>
      </x:c>
      <x:c r="AC232" s="45" t="n">
        <x:v>0.22941176470588234</x:v>
      </x:c>
      <x:c r="AD232" s="44" t="n">
        <x:v>0.6647058823529411</x:v>
      </x:c>
      <x:c r="AE232" s="44" t="n">
        <x:v>0.5411764705882354</x:v>
      </x:c>
      <x:c r="AF232" s="45" t="n">
        <x:v>0.6676470588235295</x:v>
      </x:c>
      <x:c r="AG232" s="45" t="n">
        <x:v>0.5392156862745098</x:v>
      </x:c>
      <x:c r="AH232" s="44" t="n">
        <x:v>0.7352941176470589</x:v>
      </x:c>
      <x:c r="AI232" s="44" t="n">
        <x:v>0.14705882352941177</x:v>
      </x:c>
      <x:c r="AJ232" s="45" t="n">
        <x:v>0.7352941176470589</x:v>
      </x:c>
      <x:c r="AK232" s="45" t="n">
        <x:v>0.4842592592592592</x:v>
      </x:c>
      <x:c r="AL232" s="45" t="n">
        <x:v>0.5637073347857662</x:v>
      </x:c>
      <x:c r="AM232" s="44" t="n">
        <x:v>0.6034313725490197</x:v>
      </x:c>
    </x:row>
    <x:row r="233" ht="15" hidden="0" customHeight="1">
      <x:c r="A233" s="44" t="str">
        <x:v>139-013</x:v>
      </x:c>
      <x:c r="B233" s="44" t="str">
        <x:v>Mohra Moradu stupa and monastery</x:v>
      </x:c>
      <x:c r="C233" s="44" t="n">
        <x:v>1000</x:v>
      </x:c>
      <x:c r="D233" s="44" t="str">
        <x:v>E2019</x:v>
      </x:c>
      <x:c r="E233" s="44" t="n">
        <x:v>2019</x:v>
      </x:c>
      <x:c r="F233" s="44" t="n">
        <x:v>3487</x:v>
      </x:c>
      <x:c r="G233" s="45" t="n">
        <x:v>0.43936872482299805</x:v>
      </x:c>
      <x:c r="H233" s="44" t="n">
        <x:v>0.3029928505420685</x:v>
      </x:c>
      <x:c r="I233" s="44" t="n">
        <x:v>0.5996258854866028</x:v>
      </x:c>
      <x:c r="J233" s="45" t="n">
        <x:v>-0.07529903948307037</x:v>
      </x:c>
      <x:c r="K233" s="44" t="n">
        <x:v>-0.20648175477981567</x:v>
      </x:c>
      <x:c r="L233" s="44" t="n">
        <x:v>0.045235469937324524</x:v>
      </x:c>
      <x:c r="M233" s="45" t="n">
        <x:v>-0.4177362024784088</x:v>
      </x:c>
      <x:c r="N233" s="44" t="n">
        <x:v>-0.4568968713283539</x:v>
      </x:c>
      <x:c r="O233" s="44" t="n">
        <x:v>-0.3439441919326782</x:v>
      </x:c>
      <x:c r="P233" s="45" t="n">
        <x:v>0.008227244950830936</x:v>
      </x:c>
      <x:c r="Q233" s="44" t="n">
        <x:v>-0.11739058047533035</x:v>
      </x:c>
      <x:c r="R233" s="44" t="n">
        <x:v>0.11034552752971649</x:v>
      </x:c>
      <x:c r="S233" s="44" t="n">
        <x:v>3487</x:v>
      </x:c>
      <x:c r="T233" s="44" t="n">
        <x:v>0.06423860051620305</x:v>
      </x:c>
      <x:c r="U233" s="44" t="n">
        <x:v>0.028964726125609408</x:v>
      </x:c>
      <x:c r="V233" s="44" t="n">
        <x:v>0.2793232004588471</x:v>
      </x:c>
      <x:c r="W233" s="44" t="n">
        <x:v>0.26469744766274733</x:v>
      </x:c>
      <x:c r="X233" s="44" t="n">
        <x:v>0.3627760252365931</x:v>
      </x:c>
      <x:c r="Y233" s="44" t="n">
        <x:v>0</x:v>
      </x:c>
      <x:c r="Z233" s="44" t="n">
        <x:v>0.37058823529411766</x:v>
      </x:c>
      <x:c r="AA233" s="45" t="n">
        <x:v>0.5</x:v>
      </x:c>
      <x:c r="AB233" s="45" t="n">
        <x:v>0.3588235294117647</x:v>
      </x:c>
      <x:c r="AC233" s="45" t="n">
        <x:v>0.28823529411764703</x:v>
      </x:c>
      <x:c r="AD233" s="44" t="n">
        <x:v>0.711764705882353</x:v>
      </x:c>
      <x:c r="AE233" s="44" t="n">
        <x:v>0.3647058823529412</x:v>
      </x:c>
      <x:c r="AF233" s="45" t="n">
        <x:v>0.4323529411764706</x:v>
      </x:c>
      <x:c r="AG233" s="45" t="n">
        <x:v>0.5392156862745098</x:v>
      </x:c>
      <x:c r="AH233" s="44" t="n">
        <x:v>0.7352941176470589</x:v>
      </x:c>
      <x:c r="AI233" s="44" t="n">
        <x:v>0.14705882352941177</x:v>
      </x:c>
      <x:c r="AJ233" s="45" t="n">
        <x:v>0.7352941176470589</x:v>
      </x:c>
      <x:c r="AK233" s="45" t="n">
        <x:v>0.3138888888888889</x:v>
      </x:c>
      <x:c r="AL233" s="45" t="n">
        <x:v>0.4284858387799564</x:v>
      </x:c>
      <x:c r="AM233" s="44" t="n">
        <x:v>0.4857843137254902</x:v>
      </x:c>
    </x:row>
    <x:row r="234" ht="15" hidden="0" customHeight="1">
      <x:c r="A234" s="44" t="str">
        <x:v>139-013</x:v>
      </x:c>
      <x:c r="B234" s="44" t="str">
        <x:v>Mohra Moradu stupa and monastery</x:v>
      </x:c>
      <x:c r="C234" s="44" t="n">
        <x:v>1000</x:v>
      </x:c>
      <x:c r="D234" s="44" t="str">
        <x:v>E2024</x:v>
      </x:c>
      <x:c r="E234" s="44" t="n">
        <x:v>2024</x:v>
      </x:c>
      <x:c r="F234" s="44" t="n">
        <x:v>3493</x:v>
      </x:c>
      <x:c r="G234" s="45" t="n">
        <x:v>0.49973174929618835</x:v>
      </x:c>
      <x:c r="H234" s="44" t="n">
        <x:v>0.3565050959587097</x:v>
      </x:c>
      <x:c r="I234" s="44" t="n">
        <x:v>0.6374510526657104</x:v>
      </x:c>
      <x:c r="J234" s="45" t="n">
        <x:v>-0.10535097867250443</x:v>
      </x:c>
      <x:c r="K234" s="44" t="n">
        <x:v>-0.21537548303604126</x:v>
      </x:c>
      <x:c r="L234" s="44" t="n">
        <x:v>0.004557761829346418</x:v>
      </x:c>
      <x:c r="M234" s="45" t="n">
        <x:v>-0.43348363041877747</x:v>
      </x:c>
      <x:c r="N234" s="44" t="n">
        <x:v>-0.47804200649261475</x:v>
      </x:c>
      <x:c r="O234" s="44" t="n">
        <x:v>-0.37786364555358887</x:v>
      </x:c>
      <x:c r="P234" s="45" t="n">
        <x:v>-0.021297428756952286</x:v>
      </x:c>
      <x:c r="Q234" s="44" t="n">
        <x:v>-0.13376960158348083</x:v>
      </x:c>
      <x:c r="R234" s="44" t="n">
        <x:v>0.07765410840511322</x:v>
      </x:c>
      <x:c r="S234" s="44" t="n">
        <x:v>3493</x:v>
      </x:c>
      <x:c r="T234" s="44" t="n">
        <x:v>0.041797881477240194</x:v>
      </x:c>
      <x:c r="U234" s="44" t="n">
        <x:v>0.00858860578299456</x:v>
      </x:c>
      <x:c r="V234" s="44" t="n">
        <x:v>0.2668193529916977</x:v>
      </x:c>
      <x:c r="W234" s="44" t="n">
        <x:v>0.35957629544803893</x:v>
      </x:c>
      <x:c r="X234" s="44" t="n">
        <x:v>0.32321786430002863</x:v>
      </x:c>
      <x:c r="Y234" s="44" t="n">
        <x:v>0</x:v>
      </x:c>
      <x:c r="Z234" s="44" t="n">
        <x:v>0.14705882352941177</x:v>
      </x:c>
      <x:c r="AA234" s="45" t="n">
        <x:v>0.9117647058823529</x:v>
      </x:c>
      <x:c r="AB234" s="45" t="n">
        <x:v>0.21764705882352942</x:v>
      </x:c>
      <x:c r="AC234" s="45" t="n">
        <x:v>0.19411764705882353</x:v>
      </x:c>
      <x:c r="AD234" s="44" t="n">
        <x:v>0.4470588235294118</x:v>
      </x:c>
      <x:c r="AE234" s="44" t="n">
        <x:v>0.1823529411764706</x:v>
      </x:c>
      <x:c r="AF234" s="45" t="n">
        <x:v>0.5470588235294118</x:v>
      </x:c>
      <x:c r="AG234" s="45" t="n">
        <x:v>0.5392156862745098</x:v>
      </x:c>
      <x:c r="AH234" s="44" t="n">
        <x:v>0.7352941176470589</x:v>
      </x:c>
      <x:c r="AI234" s="44" t="n">
        <x:v>0.14705882352941177</x:v>
      </x:c>
      <x:c r="AJ234" s="45" t="n">
        <x:v>0.7352941176470589</x:v>
      </x:c>
      <x:c r="AK234" s="45" t="n">
        <x:v>0.5259259259259259</x:v>
      </x:c>
      <x:c r="AL234" s="45" t="n">
        <x:v>0.5374001452432825</x:v>
      </x:c>
      <x:c r="AM234" s="44" t="n">
        <x:v>0.5431372549019609</x:v>
      </x:c>
    </x:row>
    <x:row r="235" ht="15" hidden="0" customHeight="1">
      <x:c r="A235" s="44" t="str">
        <x:v>139-014</x:v>
      </x:c>
      <x:c r="B235" s="44" t="str">
        <x:v>Pippala stupa and monastery</x:v>
      </x:c>
      <x:c r="C235" s="44" t="n">
        <x:v>1000</x:v>
      </x:c>
      <x:c r="D235" s="44" t="str">
        <x:v>E2004</x:v>
      </x:c>
      <x:c r="E235" s="44" t="n">
        <x:v>2004</x:v>
      </x:c>
      <x:c r="F235" s="44" t="n">
        <x:v>3491</x:v>
      </x:c>
      <x:c r="G235" s="45" t="n">
        <x:v>0.39139214158058167</x:v>
      </x:c>
      <x:c r="H235" s="44" t="n">
        <x:v>0.3177030682563782</x:v>
      </x:c>
      <x:c r="I235" s="44" t="n">
        <x:v>0.5071712732315063</x:v>
      </x:c>
      <x:c r="J235" s="45" t="n">
        <x:v>-0.03986901417374611</x:v>
      </x:c>
      <x:c r="K235" s="44" t="n">
        <x:v>-0.13919705152511597</x:v>
      </x:c>
      <x:c r="L235" s="44" t="n">
        <x:v>0.04442188888788223</x:v>
      </x:c>
      <x:c r="M235" s="45" t="n">
        <x:v>-0.42417004704475403</x:v>
      </x:c>
      <x:c r="N235" s="44" t="n">
        <x:v>-0.4670840799808502</x:v>
      </x:c>
      <x:c r="O235" s="44" t="n">
        <x:v>-0.36578112840652466</x:v>
      </x:c>
      <x:c r="P235" s="45" t="n">
        <x:v>0.04265002906322479</x:v>
      </x:c>
      <x:c r="Q235" s="44" t="n">
        <x:v>-0.051155198365449905</x:v>
      </x:c>
      <x:c r="R235" s="44" t="n">
        <x:v>0.11358433961868286</x:v>
      </x:c>
      <x:c r="S235" s="44" t="n">
        <x:v>3491</x:v>
      </x:c>
      <x:c r="T235" s="44" t="n">
        <x:v>0.08020624462904612</x:v>
      </x:c>
      <x:c r="U235" s="44" t="n">
        <x:v>0.006874820968203953</x:v>
      </x:c>
      <x:c r="V235" s="44" t="n">
        <x:v>0.46863362933256947</x:v>
      </x:c>
      <x:c r="W235" s="44" t="n">
        <x:v>0.11830421082784302</x:v>
      </x:c>
      <x:c r="X235" s="44" t="n">
        <x:v>0.32598109424233745</x:v>
      </x:c>
      <x:c r="Y235" s="44" t="n">
        <x:v>0</x:v>
      </x:c>
      <x:c r="Z235" s="44" t="n">
        <x:v>0.5588235294117647</x:v>
      </x:c>
      <x:c r="AA235" s="45" t="n">
        <x:v>0.711764705882353</x:v>
      </x:c>
      <x:c r="AB235" s="45" t="n">
        <x:v>0.5352941176470588</x:v>
      </x:c>
      <x:c r="AC235" s="45" t="n">
        <x:v>0.4411764705882353</x:v>
      </x:c>
      <x:c r="AD235" s="44" t="n">
        <x:v>0.3941176470588235</x:v>
      </x:c>
      <x:c r="AE235" s="44" t="n">
        <x:v>0.5470588235294118</x:v>
      </x:c>
      <x:c r="AF235" s="45" t="n">
        <x:v>0.6294117647058823</x:v>
      </x:c>
      <x:c r="AG235" s="45" t="n">
        <x:v>0.5588235294117647</x:v>
      </x:c>
      <x:c r="AH235" s="44" t="n">
        <x:v>0.6764705882352942</x:v>
      </x:c>
      <x:c r="AI235" s="44" t="n">
        <x:v>0.3235294117647059</x:v>
      </x:c>
      <x:c r="AJ235" s="45" t="n">
        <x:v>0.6764705882352942</x:v>
      </x:c>
      <x:c r="AK235" s="45" t="n">
        <x:v>0.5166666666666666</x:v>
      </x:c>
      <x:c r="AL235" s="45" t="n">
        <x:v>0.5683006535947712</x:v>
      </x:c>
      <x:c r="AM235" s="44" t="n">
        <x:v>0.5941176470588235</x:v>
      </x:c>
    </x:row>
    <x:row r="236" ht="15" hidden="0" customHeight="1">
      <x:c r="A236" s="44" t="str">
        <x:v>139-014</x:v>
      </x:c>
      <x:c r="B236" s="44" t="str">
        <x:v>Pippala stupa and monastery</x:v>
      </x:c>
      <x:c r="C236" s="44" t="n">
        <x:v>1000</x:v>
      </x:c>
      <x:c r="D236" s="44" t="str">
        <x:v>E2009</x:v>
      </x:c>
      <x:c r="E236" s="44" t="n">
        <x:v>2009</x:v>
      </x:c>
      <x:c r="F236" s="44" t="n">
        <x:v>3491</x:v>
      </x:c>
      <x:c r="G236" s="45" t="n">
        <x:v>0.39283448457717896</x:v>
      </x:c>
      <x:c r="H236" s="44" t="n">
        <x:v>0.30901214480400085</x:v>
      </x:c>
      <x:c r="I236" s="44" t="n">
        <x:v>0.4973698854446411</x:v>
      </x:c>
      <x:c r="J236" s="45" t="n">
        <x:v>-0.0397079735994339</x:v>
      </x:c>
      <x:c r="K236" s="44" t="n">
        <x:v>-0.1294008046388626</x:v>
      </x:c>
      <x:c r="L236" s="44" t="n">
        <x:v>0.05542243272066116</x:v>
      </x:c>
      <x:c r="M236" s="45" t="n">
        <x:v>-0.4212316572666168</x:v>
      </x:c>
      <x:c r="N236" s="44" t="n">
        <x:v>-0.4639631509780884</x:v>
      </x:c>
      <x:c r="O236" s="44" t="n">
        <x:v>-0.37006300687789917</x:v>
      </x:c>
      <x:c r="P236" s="45" t="n">
        <x:v>0.03704235702753067</x:v>
      </x:c>
      <x:c r="Q236" s="44" t="n">
        <x:v>-0.048903293907642365</x:v>
      </x:c>
      <x:c r="R236" s="44" t="n">
        <x:v>0.12090672552585602</x:v>
      </x:c>
      <x:c r="S236" s="44" t="n">
        <x:v>3491</x:v>
      </x:c>
      <x:c r="T236" s="44" t="n">
        <x:v>0.10398166714408479</x:v>
      </x:c>
      <x:c r="U236" s="44" t="n">
        <x:v>0.0014322543683758235</x:v>
      </x:c>
      <x:c r="V236" s="44" t="n">
        <x:v>0.5316528215411057</x:v>
      </x:c>
      <x:c r="W236" s="44" t="n">
        <x:v>0.09710684617588083</x:v>
      </x:c>
      <x:c r="X236" s="44" t="n">
        <x:v>0.26582641077055286</x:v>
      </x:c>
      <x:c r="Y236" s="44" t="n">
        <x:v>0</x:v>
      </x:c>
      <x:c r="Z236" s="44" t="n">
        <x:v>0.5470588235294118</x:v>
      </x:c>
      <x:c r="AA236" s="45" t="n">
        <x:v>0.6176470588235294</x:v>
      </x:c>
      <x:c r="AB236" s="45" t="n">
        <x:v>0.5470588235294118</x:v>
      </x:c>
      <x:c r="AC236" s="45" t="n">
        <x:v>0.5823529411764706</x:v>
      </x:c>
      <x:c r="AD236" s="44" t="n">
        <x:v>0.17058823529411765</x:v>
      </x:c>
      <x:c r="AE236" s="44" t="n">
        <x:v>0.5470588235294118</x:v>
      </x:c>
      <x:c r="AF236" s="45" t="n">
        <x:v>0.5823529411764706</x:v>
      </x:c>
      <x:c r="AG236" s="45" t="n">
        <x:v>0.5588235294117647</x:v>
      </x:c>
      <x:c r="AH236" s="44" t="n">
        <x:v>0.6764705882352942</x:v>
      </x:c>
      <x:c r="AI236" s="44" t="n">
        <x:v>0.3235294117647059</x:v>
      </x:c>
      <x:c r="AJ236" s="45" t="n">
        <x:v>0.6764705882352942</x:v>
      </x:c>
      <x:c r="AK236" s="45" t="n">
        <x:v>0.462037037037037</x:v>
      </x:c>
      <x:c r="AL236" s="45" t="n">
        <x:v>0.5344045025417574</x:v>
      </x:c>
      <x:c r="AM236" s="44" t="n">
        <x:v>0.5705882352941176</x:v>
      </x:c>
    </x:row>
    <x:row r="237" ht="15" hidden="0" customHeight="1">
      <x:c r="A237" s="44" t="str">
        <x:v>139-014</x:v>
      </x:c>
      <x:c r="B237" s="44" t="str">
        <x:v>Pippala stupa and monastery</x:v>
      </x:c>
      <x:c r="C237" s="44" t="n">
        <x:v>1000</x:v>
      </x:c>
      <x:c r="D237" s="44" t="str">
        <x:v>E2014</x:v>
      </x:c>
      <x:c r="E237" s="44" t="n">
        <x:v>2014</x:v>
      </x:c>
      <x:c r="F237" s="44" t="n">
        <x:v>3481</x:v>
      </x:c>
      <x:c r="G237" s="45" t="n">
        <x:v>0.41578230261802673</x:v>
      </x:c>
      <x:c r="H237" s="44" t="n">
        <x:v>0.30958208441734314</x:v>
      </x:c>
      <x:c r="I237" s="44" t="n">
        <x:v>0.5700609087944031</x:v>
      </x:c>
      <x:c r="J237" s="45" t="n">
        <x:v>-0.04549364745616913</x:v>
      </x:c>
      <x:c r="K237" s="44" t="n">
        <x:v>-0.17540748417377472</x:v>
      </x:c>
      <x:c r="L237" s="44" t="n">
        <x:v>0.05312548205256462</x:v>
      </x:c>
      <x:c r="M237" s="45" t="n">
        <x:v>-0.41967645287513733</x:v>
      </x:c>
      <x:c r="N237" s="44" t="n">
        <x:v>-0.46076908707618713</x:v>
      </x:c>
      <x:c r="O237" s="44" t="n">
        <x:v>-0.35765138268470764</x:v>
      </x:c>
      <x:c r="P237" s="45" t="n">
        <x:v>0.033206507563591</x:v>
      </x:c>
      <x:c r="Q237" s="44" t="n">
        <x:v>-0.08913245797157288</x:v>
      </x:c>
      <x:c r="R237" s="44" t="n">
        <x:v>0.11461390554904938</x:v>
      </x:c>
      <x:c r="S237" s="44" t="n">
        <x:v>3481</x:v>
      </x:c>
      <x:c r="T237" s="44" t="n">
        <x:v>0.08790577420281528</x:v>
      </x:c>
      <x:c r="U237" s="44" t="n">
        <x:v>0.01235277219189888</x:v>
      </x:c>
      <x:c r="V237" s="44" t="n">
        <x:v>0.3634013214593508</x:v>
      </x:c>
      <x:c r="W237" s="44" t="n">
        <x:v>0.20080436656133294</x:v>
      </x:c>
      <x:c r="X237" s="44" t="n">
        <x:v>0.33553576558460213</x:v>
      </x:c>
      <x:c r="Y237" s="44" t="n">
        <x:v>0</x:v>
      </x:c>
      <x:c r="Z237" s="44" t="n">
        <x:v>0.45294117647058824</x:v>
      </x:c>
      <x:c r="AA237" s="45" t="n">
        <x:v>0.5705882352941176</x:v>
      </x:c>
      <x:c r="AB237" s="45" t="n">
        <x:v>0.4764705882352941</x:v>
      </x:c>
      <x:c r="AC237" s="45" t="n">
        <x:v>0.5117647058823529</x:v>
      </x:c>
      <x:c r="AD237" s="44" t="n">
        <x:v>0.5941176470588235</x:v>
      </x:c>
      <x:c r="AE237" s="44" t="n">
        <x:v>0.4647058823529412</x:v>
      </x:c>
      <x:c r="AF237" s="45" t="n">
        <x:v>0.5176470588235293</x:v>
      </x:c>
      <x:c r="AG237" s="45" t="n">
        <x:v>0.5588235294117647</x:v>
      </x:c>
      <x:c r="AH237" s="44" t="n">
        <x:v>0.6764705882352942</x:v>
      </x:c>
      <x:c r="AI237" s="44" t="n">
        <x:v>0.3235294117647059</x:v>
      </x:c>
      <x:c r="AJ237" s="45" t="n">
        <x:v>0.6764705882352942</x:v>
      </x:c>
      <x:c r="AK237" s="45" t="n">
        <x:v>0.4842592592592592</x:v>
      </x:c>
      <x:c r="AL237" s="45" t="n">
        <x:v>0.5202432824981844</x:v>
      </x:c>
      <x:c r="AM237" s="44" t="n">
        <x:v>0.538235294117647</x:v>
      </x:c>
    </x:row>
    <x:row r="238" ht="15" hidden="0" customHeight="1">
      <x:c r="A238" s="44" t="str">
        <x:v>139-014</x:v>
      </x:c>
      <x:c r="B238" s="44" t="str">
        <x:v>Pippala stupa and monastery</x:v>
      </x:c>
      <x:c r="C238" s="44" t="n">
        <x:v>1000</x:v>
      </x:c>
      <x:c r="D238" s="44" t="str">
        <x:v>E2019</x:v>
      </x:c>
      <x:c r="E238" s="44" t="n">
        <x:v>2019</x:v>
      </x:c>
      <x:c r="F238" s="44" t="n">
        <x:v>3478</x:v>
      </x:c>
      <x:c r="G238" s="45" t="n">
        <x:v>0.44889402389526367</x:v>
      </x:c>
      <x:c r="H238" s="44" t="n">
        <x:v>0.31181010603904724</x:v>
      </x:c>
      <x:c r="I238" s="44" t="n">
        <x:v>0.5831688046455383</x:v>
      </x:c>
      <x:c r="J238" s="45" t="n">
        <x:v>-0.08171860873699188</x:v>
      </x:c>
      <x:c r="K238" s="44" t="n">
        <x:v>-0.20224177837371826</x:v>
      </x:c>
      <x:c r="L238" s="44" t="n">
        <x:v>0.03136615455150604</x:v>
      </x:c>
      <x:c r="M238" s="45" t="n">
        <x:v>-0.41118407249450684</x:v>
      </x:c>
      <x:c r="N238" s="44" t="n">
        <x:v>-0.45016008615493774</x:v>
      </x:c>
      <x:c r="O238" s="44" t="n">
        <x:v>-0.34197068214416504</x:v>
      </x:c>
      <x:c r="P238" s="45" t="n">
        <x:v>0.001996734645217657</x:v>
      </x:c>
      <x:c r="Q238" s="44" t="n">
        <x:v>-0.10840343683958054</x:v>
      </x:c>
      <x:c r="R238" s="44" t="n">
        <x:v>0.10086283087730408</x:v>
      </x:c>
      <x:c r="S238" s="44" t="n">
        <x:v>3478</x:v>
      </x:c>
      <x:c r="T238" s="44" t="n">
        <x:v>0.11328349626221966</x:v>
      </x:c>
      <x:c r="U238" s="44" t="n">
        <x:v>0.01437607820586544</x:v>
      </x:c>
      <x:c r="V238" s="44" t="n">
        <x:v>0.3464634847613571</x:v>
      </x:c>
      <x:c r="W238" s="44" t="n">
        <x:v>0.2619321449108683</x:v>
      </x:c>
      <x:c r="X238" s="44" t="n">
        <x:v>0.2639447958596895</x:v>
      </x:c>
      <x:c r="Y238" s="44" t="n">
        <x:v>0</x:v>
      </x:c>
      <x:c r="Z238" s="44" t="n">
        <x:v>0.34705882352941175</x:v>
      </x:c>
      <x:c r="AA238" s="45" t="n">
        <x:v>0.28823529411764703</x:v>
      </x:c>
      <x:c r="AB238" s="45" t="n">
        <x:v>0.3</x:v>
      </x:c>
      <x:c r="AC238" s="45" t="n">
        <x:v>0.6647058823529411</x:v>
      </x:c>
      <x:c r="AD238" s="44" t="n">
        <x:v>0.6411764705882353</x:v>
      </x:c>
      <x:c r="AE238" s="44" t="n">
        <x:v>0.32352941176470584</x:v>
      </x:c>
      <x:c r="AF238" s="45" t="n">
        <x:v>0.30588235294117644</x:v>
      </x:c>
      <x:c r="AG238" s="45" t="n">
        <x:v>0.5588235294117647</x:v>
      </x:c>
      <x:c r="AH238" s="44" t="n">
        <x:v>0.6764705882352942</x:v>
      </x:c>
      <x:c r="AI238" s="44" t="n">
        <x:v>0.3235294117647059</x:v>
      </x:c>
      <x:c r="AJ238" s="45" t="n">
        <x:v>0.6764705882352942</x:v>
      </x:c>
      <x:c r="AK238" s="45" t="n">
        <x:v>0.3138888888888889</x:v>
      </x:c>
      <x:c r="AL238" s="45" t="n">
        <x:v>0.3928649237472767</x:v>
      </x:c>
      <x:c r="AM238" s="44" t="n">
        <x:v>0.4323529411764706</x:v>
      </x:c>
    </x:row>
    <x:row r="239" ht="15" hidden="0" customHeight="1">
      <x:c r="A239" s="44" t="str">
        <x:v>139-014</x:v>
      </x:c>
      <x:c r="B239" s="44" t="str">
        <x:v>Pippala stupa and monastery</x:v>
      </x:c>
      <x:c r="C239" s="44" t="n">
        <x:v>1000</x:v>
      </x:c>
      <x:c r="D239" s="44" t="str">
        <x:v>E2024</x:v>
      </x:c>
      <x:c r="E239" s="44" t="n">
        <x:v>2024</x:v>
      </x:c>
      <x:c r="F239" s="44" t="n">
        <x:v>3489</x:v>
      </x:c>
      <x:c r="G239" s="45" t="n">
        <x:v>0.49749556183815</x:v>
      </x:c>
      <x:c r="H239" s="44" t="n">
        <x:v>0.35215213894844055</x:v>
      </x:c>
      <x:c r="I239" s="44" t="n">
        <x:v>0.6343882083892822</x:v>
      </x:c>
      <x:c r="J239" s="45" t="n">
        <x:v>-0.10228218138217926</x:v>
      </x:c>
      <x:c r="K239" s="44" t="n">
        <x:v>-0.22197793424129486</x:v>
      </x:c>
      <x:c r="L239" s="44" t="n">
        <x:v>0.004255376290529966</x:v>
      </x:c>
      <x:c r="M239" s="45" t="n">
        <x:v>-0.427701860666275</x:v>
      </x:c>
      <x:c r="N239" s="44" t="n">
        <x:v>-0.46866747736930847</x:v>
      </x:c>
      <x:c r="O239" s="44" t="n">
        <x:v>-0.37084659934043884</x:v>
      </x:c>
      <x:c r="P239" s="45" t="n">
        <x:v>-0.0203500147908926</x:v>
      </x:c>
      <x:c r="Q239" s="44" t="n">
        <x:v>-0.13816478848457336</x:v>
      </x:c>
      <x:c r="R239" s="44" t="n">
        <x:v>0.07658710330724716</x:v>
      </x:c>
      <x:c r="S239" s="44" t="n">
        <x:v>3489</x:v>
      </x:c>
      <x:c r="T239" s="44" t="n">
        <x:v>0.07136715391229578</x:v>
      </x:c>
      <x:c r="U239" s="44" t="n">
        <x:v>0.0060189165950128975</x:v>
      </x:c>
      <x:c r="V239" s="44" t="n">
        <x:v>0.3404987102321582</x:v>
      </x:c>
      <x:c r="W239" s="44" t="n">
        <x:v>0.35912869016910287</x:v>
      </x:c>
      <x:c r="X239" s="44" t="n">
        <x:v>0.2229865290914302</x:v>
      </x:c>
      <x:c r="Y239" s="44" t="n">
        <x:v>0</x:v>
      </x:c>
      <x:c r="Z239" s="44" t="n">
        <x:v>0.17058823529411765</x:v>
      </x:c>
      <x:c r="AA239" s="45" t="n">
        <x:v>0.8294117647058824</x:v>
      </x:c>
      <x:c r="AB239" s="45" t="n">
        <x:v>0.22941176470588234</x:v>
      </x:c>
      <x:c r="AC239" s="45" t="n">
        <x:v>0.38235294117647056</x:v>
      </x:c>
      <x:c r="AD239" s="44" t="n">
        <x:v>0.3588235294117647</x:v>
      </x:c>
      <x:c r="AE239" s="44" t="n">
        <x:v>0.2</x:v>
      </x:c>
      <x:c r="AF239" s="45" t="n">
        <x:v>0.5147058823529412</x:v>
      </x:c>
      <x:c r="AG239" s="45" t="n">
        <x:v>0.5588235294117647</x:v>
      </x:c>
      <x:c r="AH239" s="44" t="n">
        <x:v>0.6764705882352942</x:v>
      </x:c>
      <x:c r="AI239" s="44" t="n">
        <x:v>0.3235294117647059</x:v>
      </x:c>
      <x:c r="AJ239" s="45" t="n">
        <x:v>0.6764705882352942</x:v>
      </x:c>
      <x:c r="AK239" s="45" t="n">
        <x:v>0.5259259259259259</x:v>
      </x:c>
      <x:c r="AL239" s="45" t="n">
        <x:v>0.5331517792302106</x:v>
      </x:c>
      <x:c r="AM239" s="44" t="n">
        <x:v>0.536764705882353</x:v>
      </x:c>
    </x:row>
    <x:row r="240" ht="15" hidden="0" customHeight="1">
      <x:c r="A240" s="44" t="str">
        <x:v>139-015</x:v>
      </x:c>
      <x:c r="B240" s="44" t="str">
        <x:v>Jaulian stupa and monastery</x:v>
      </x:c>
      <x:c r="C240" s="44" t="n">
        <x:v>1000</x:v>
      </x:c>
      <x:c r="D240" s="44" t="str">
        <x:v>E2004</x:v>
      </x:c>
      <x:c r="E240" s="44" t="n">
        <x:v>2004</x:v>
      </x:c>
      <x:c r="F240" s="44" t="n">
        <x:v>3491</x:v>
      </x:c>
      <x:c r="G240" s="45" t="n">
        <x:v>0.3903939425945282</x:v>
      </x:c>
      <x:c r="H240" s="44" t="n">
        <x:v>0.31066063046455383</x:v>
      </x:c>
      <x:c r="I240" s="44" t="n">
        <x:v>0.5497496128082275</x:v>
      </x:c>
      <x:c r="J240" s="45" t="n">
        <x:v>-0.04289572685956955</x:v>
      </x:c>
      <x:c r="K240" s="44" t="n">
        <x:v>-0.17592403292655945</x:v>
      </x:c>
      <x:c r="L240" s="44" t="n">
        <x:v>0.045291781425476074</x:v>
      </x:c>
      <x:c r="M240" s="45" t="n">
        <x:v>-0.42280858755111694</x:v>
      </x:c>
      <x:c r="N240" s="44" t="n">
        <x:v>-0.4709114730358124</x:v>
      </x:c>
      <x:c r="O240" s="44" t="n">
        <x:v>-0.33477917313575745</x:v>
      </x:c>
      <x:c r="P240" s="45" t="n">
        <x:v>0.04160836711525917</x:v>
      </x:c>
      <x:c r="Q240" s="44" t="n">
        <x:v>-0.0871410220861435</x:v>
      </x:c>
      <x:c r="R240" s="44" t="n">
        <x:v>0.1148010790348053</x:v>
      </x:c>
      <x:c r="S240" s="44" t="n">
        <x:v>3491</x:v>
      </x:c>
      <x:c r="T240" s="44" t="n">
        <x:v>0.10598682325981094</x:v>
      </x:c>
      <x:c r="U240" s="44" t="n">
        <x:v>0.011458034947006588</x:v>
      </x:c>
      <x:c r="V240" s="44" t="n">
        <x:v>0.33657977656831856</x:v>
      </x:c>
      <x:c r="W240" s="44" t="n">
        <x:v>0.17187052420509882</x:v>
      </x:c>
      <x:c r="X240" s="44" t="n">
        <x:v>0.3741048410197651</x:v>
      </x:c>
      <x:c r="Y240" s="44" t="n">
        <x:v>0</x:v>
      </x:c>
      <x:c r="Z240" s="44" t="n">
        <x:v>0.5823529411764706</x:v>
      </x:c>
      <x:c r="AA240" s="45" t="n">
        <x:v>0.6882352941176471</x:v>
      </x:c>
      <x:c r="AB240" s="45" t="n">
        <x:v>0.5117647058823529</x:v>
      </x:c>
      <x:c r="AC240" s="45" t="n">
        <x:v>0.6058823529411764</x:v>
      </x:c>
      <x:c r="AD240" s="44" t="n">
        <x:v>0.5588235294117647</x:v>
      </x:c>
      <x:c r="AE240" s="44" t="n">
        <x:v>0.5470588235294118</x:v>
      </x:c>
      <x:c r="AF240" s="45" t="n">
        <x:v>0.6176470588235294</x:v>
      </x:c>
      <x:c r="AG240" s="45" t="n">
        <x:v>0.6568627450980392</x:v>
      </x:c>
      <x:c r="AH240" s="44" t="n">
        <x:v>0.8529411764705882</x:v>
      </x:c>
      <x:c r="AI240" s="44" t="n">
        <x:v>0.2647058823529412</x:v>
      </x:c>
      <x:c r="AJ240" s="45" t="n">
        <x:v>0.8529411764705882</x:v>
      </x:c>
      <x:c r="AK240" s="45" t="n">
        <x:v>0.5166666666666666</x:v>
      </x:c>
      <x:c r="AL240" s="45" t="n">
        <x:v>0.5970588235294118</x:v>
      </x:c>
      <x:c r="AM240" s="44" t="n">
        <x:v>0.6372549019607843</x:v>
      </x:c>
    </x:row>
    <x:row r="241" ht="15" hidden="0" customHeight="1">
      <x:c r="A241" s="44" t="str">
        <x:v>139-015</x:v>
      </x:c>
      <x:c r="B241" s="44" t="str">
        <x:v>Jaulian stupa and monastery</x:v>
      </x:c>
      <x:c r="C241" s="44" t="n">
        <x:v>1000</x:v>
      </x:c>
      <x:c r="D241" s="44" t="str">
        <x:v>E2009</x:v>
      </x:c>
      <x:c r="E241" s="44" t="n">
        <x:v>2009</x:v>
      </x:c>
      <x:c r="F241" s="44" t="n">
        <x:v>3491</x:v>
      </x:c>
      <x:c r="G241" s="45" t="n">
        <x:v>0.38785362243652344</x:v>
      </x:c>
      <x:c r="H241" s="44" t="n">
        <x:v>0.3081444799900055</x:v>
      </x:c>
      <x:c r="I241" s="44" t="n">
        <x:v>0.525631308555603</x:v>
      </x:c>
      <x:c r="J241" s="45" t="n">
        <x:v>-0.04322361573576927</x:v>
      </x:c>
      <x:c r="K241" s="44" t="n">
        <x:v>-0.157780721783638</x:v>
      </x:c>
      <x:c r="L241" s="44" t="n">
        <x:v>0.05449682101607323</x:v>
      </x:c>
      <x:c r="M241" s="45" t="n">
        <x:v>-0.4209088981151581</x:v>
      </x:c>
      <x:c r="N241" s="44" t="n">
        <x:v>-0.468922883272171</x:v>
      </x:c>
      <x:c r="O241" s="44" t="n">
        <x:v>-0.35145315527915955</x:v>
      </x:c>
      <x:c r="P241" s="45" t="n">
        <x:v>0.036333564668893814</x:v>
      </x:c>
      <x:c r="Q241" s="44" t="n">
        <x:v>-0.07530544698238373</x:v>
      </x:c>
      <x:c r="R241" s="44" t="n">
        <x:v>0.12222714722156525</x:v>
      </x:c>
      <x:c r="S241" s="44" t="n">
        <x:v>3491</x:v>
      </x:c>
      <x:c r="T241" s="44" t="n">
        <x:v>0.10913778287023776</x:v>
      </x:c>
      <x:c r="U241" s="44" t="n">
        <x:v>0.0037238613577771414</x:v>
      </x:c>
      <x:c r="V241" s="44" t="n">
        <x:v>0.39959896877685475</x:v>
      </x:c>
      <x:c r="W241" s="44" t="n">
        <x:v>0.15754798052134059</x:v>
      </x:c>
      <x:c r="X241" s="44" t="n">
        <x:v>0.3299914064737898</x:v>
      </x:c>
      <x:c r="Y241" s="44" t="n">
        <x:v>0</x:v>
      </x:c>
      <x:c r="Z241" s="44" t="n">
        <x:v>0.5941176470588235</x:v>
      </x:c>
      <x:c r="AA241" s="45" t="n">
        <x:v>0.5941176470588235</x:v>
      </x:c>
      <x:c r="AB241" s="45" t="n">
        <x:v>0.5</x:v>
      </x:c>
      <x:c r="AC241" s="45" t="n">
        <x:v>0.6411764705882353</x:v>
      </x:c>
      <x:c r="AD241" s="44" t="n">
        <x:v>0.28823529411764703</x:v>
      </x:c>
      <x:c r="AE241" s="44" t="n">
        <x:v>0.5470588235294118</x:v>
      </x:c>
      <x:c r="AF241" s="45" t="n">
        <x:v>0.5705882352941176</x:v>
      </x:c>
      <x:c r="AG241" s="45" t="n">
        <x:v>0.6568627450980392</x:v>
      </x:c>
      <x:c r="AH241" s="44" t="n">
        <x:v>0.8529411764705882</x:v>
      </x:c>
      <x:c r="AI241" s="44" t="n">
        <x:v>0.2647058823529412</x:v>
      </x:c>
      <x:c r="AJ241" s="45" t="n">
        <x:v>0.8529411764705882</x:v>
      </x:c>
      <x:c r="AK241" s="45" t="n">
        <x:v>0.462037037037037</x:v>
      </x:c>
      <x:c r="AL241" s="45" t="n">
        <x:v>0.563162672476398</x:v>
      </x:c>
      <x:c r="AM241" s="44" t="n">
        <x:v>0.6137254901960785</x:v>
      </x:c>
    </x:row>
    <x:row r="242" ht="15" hidden="0" customHeight="1">
      <x:c r="A242" s="44" t="str">
        <x:v>139-015</x:v>
      </x:c>
      <x:c r="B242" s="44" t="str">
        <x:v>Jaulian stupa and monastery</x:v>
      </x:c>
      <x:c r="C242" s="44" t="n">
        <x:v>1000</x:v>
      </x:c>
      <x:c r="D242" s="44" t="str">
        <x:v>E2014</x:v>
      </x:c>
      <x:c r="E242" s="44" t="n">
        <x:v>2014</x:v>
      </x:c>
      <x:c r="F242" s="44" t="n">
        <x:v>3486</x:v>
      </x:c>
      <x:c r="G242" s="45" t="n">
        <x:v>0.45175641775131226</x:v>
      </x:c>
      <x:c r="H242" s="44" t="n">
        <x:v>0.3207886517047882</x:v>
      </x:c>
      <x:c r="I242" s="44" t="n">
        <x:v>0.6530241966247559</x:v>
      </x:c>
      <x:c r="J242" s="45" t="n">
        <x:v>-0.07009916752576828</x:v>
      </x:c>
      <x:c r="K242" s="44" t="n">
        <x:v>-0.24736635386943817</x:v>
      </x:c>
      <x:c r="L242" s="44" t="n">
        <x:v>0.04511062800884247</x:v>
      </x:c>
      <x:c r="M242" s="45" t="n">
        <x:v>-0.4254305064678192</x:v>
      </x:c>
      <x:c r="N242" s="44" t="n">
        <x:v>-0.47426387667655945</x:v>
      </x:c>
      <x:c r="O242" s="44" t="n">
        <x:v>-0.35080286860466003</x:v>
      </x:c>
      <x:c r="P242" s="45" t="n">
        <x:v>0.010106170549988747</x:v>
      </x:c>
      <x:c r="Q242" s="44" t="n">
        <x:v>-0.1616898477077484</x:v>
      </x:c>
      <x:c r="R242" s="44" t="n">
        <x:v>0.10801447927951813</x:v>
      </x:c>
      <x:c r="S242" s="44" t="n">
        <x:v>3486</x:v>
      </x:c>
      <x:c r="T242" s="44" t="n">
        <x:v>0.07028112449799197</x:v>
      </x:c>
      <x:c r="U242" s="44" t="n">
        <x:v>0.013482501434308663</x:v>
      </x:c>
      <x:c r="V242" s="44" t="n">
        <x:v>0.24899598393574296</x:v>
      </x:c>
      <x:c r="W242" s="44" t="n">
        <x:v>0.2983362019506598</x:v>
      </x:c>
      <x:c r="X242" s="44" t="n">
        <x:v>0.3689041881812966</x:v>
      </x:c>
      <x:c r="Y242" s="44" t="n">
        <x:v>0</x:v>
      </x:c>
      <x:c r="Z242" s="44" t="n">
        <x:v>0.3352941176470588</x:v>
      </x:c>
      <x:c r="AA242" s="45" t="n">
        <x:v>0.7470588235294118</x:v>
      </x:c>
      <x:c r="AB242" s="45" t="n">
        <x:v>0.37058823529411766</x:v>
      </x:c>
      <x:c r="AC242" s="45" t="n">
        <x:v>0.3588235294117647</x:v>
      </x:c>
      <x:c r="AD242" s="44" t="n">
        <x:v>0.6176470588235294</x:v>
      </x:c>
      <x:c r="AE242" s="44" t="n">
        <x:v>0.3529411764705882</x:v>
      </x:c>
      <x:c r="AF242" s="45" t="n">
        <x:v>0.55</x:v>
      </x:c>
      <x:c r="AG242" s="45" t="n">
        <x:v>0.6568627450980392</x:v>
      </x:c>
      <x:c r="AH242" s="44" t="n">
        <x:v>0.8529411764705882</x:v>
      </x:c>
      <x:c r="AI242" s="44" t="n">
        <x:v>0.2647058823529412</x:v>
      </x:c>
      <x:c r="AJ242" s="45" t="n">
        <x:v>0.8529411764705882</x:v>
      </x:c>
      <x:c r="AK242" s="45" t="n">
        <x:v>0.4842592592592592</x:v>
      </x:c>
      <x:c r="AL242" s="45" t="n">
        <x:v>0.5637073347857662</x:v>
      </x:c>
      <x:c r="AM242" s="44" t="n">
        <x:v>0.6034313725490197</x:v>
      </x:c>
    </x:row>
    <x:row r="243" ht="15" hidden="0" customHeight="1">
      <x:c r="A243" s="44" t="str">
        <x:v>139-015</x:v>
      </x:c>
      <x:c r="B243" s="44" t="str">
        <x:v>Jaulian stupa and monastery</x:v>
      </x:c>
      <x:c r="C243" s="44" t="n">
        <x:v>1000</x:v>
      </x:c>
      <x:c r="D243" s="44" t="str">
        <x:v>E2019</x:v>
      </x:c>
      <x:c r="E243" s="44" t="n">
        <x:v>2019</x:v>
      </x:c>
      <x:c r="F243" s="44" t="n">
        <x:v>3448</x:v>
      </x:c>
      <x:c r="G243" s="45" t="n">
        <x:v>0.4635946750640869</x:v>
      </x:c>
      <x:c r="H243" s="44" t="n">
        <x:v>0.3236801028251648</x:v>
      </x:c>
      <x:c r="I243" s="44" t="n">
        <x:v>0.6350333094596863</x:v>
      </x:c>
      <x:c r="J243" s="45" t="n">
        <x:v>-0.08590202778577805</x:v>
      </x:c>
      <x:c r="K243" s="44" t="n">
        <x:v>-0.2491588443517685</x:v>
      </x:c>
      <x:c r="L243" s="44" t="n">
        <x:v>0.020910143852233887</x:v>
      </x:c>
      <x:c r="M243" s="45" t="n">
        <x:v>-0.42027249932289124</x:v>
      </x:c>
      <x:c r="N243" s="44" t="n">
        <x:v>-0.46923306584358215</x:v>
      </x:c>
      <x:c r="O243" s="44" t="n">
        <x:v>-0.34398868680000305</x:v>
      </x:c>
      <x:c r="P243" s="45" t="n">
        <x:v>-0.0009563355124555528</x:v>
      </x:c>
      <x:c r="Q243" s="44" t="n">
        <x:v>-0.16143424808979034</x:v>
      </x:c>
      <x:c r="R243" s="44" t="n">
        <x:v>0.09075804054737091</x:v>
      </x:c>
      <x:c r="S243" s="44" t="n">
        <x:v>3448</x:v>
      </x:c>
      <x:c r="T243" s="44" t="n">
        <x:v>0.07859628770301624</x:v>
      </x:c>
      <x:c r="U243" s="44" t="n">
        <x:v>0.014211136890951276</x:v>
      </x:c>
      <x:c r="V243" s="44" t="n">
        <x:v>0.22157772621809746</x:v>
      </x:c>
      <x:c r="W243" s="44" t="n">
        <x:v>0.29147331786542924</x:v>
      </x:c>
      <x:c r="X243" s="44" t="n">
        <x:v>0.3941415313225058</x:v>
      </x:c>
      <x:c r="Y243" s="44" t="n">
        <x:v>0</x:v>
      </x:c>
      <x:c r="Z243" s="44" t="n">
        <x:v>0.3235294117647059</x:v>
      </x:c>
      <x:c r="AA243" s="45" t="n">
        <x:v>0.5823529411764706</x:v>
      </x:c>
      <x:c r="AB243" s="45" t="n">
        <x:v>0.28823529411764703</x:v>
      </x:c>
      <x:c r="AC243" s="45" t="n">
        <x:v>0.4176470588235294</x:v>
      </x:c>
      <x:c r="AD243" s="44" t="n">
        <x:v>0.6294117647058823</x:v>
      </x:c>
      <x:c r="AE243" s="44" t="n">
        <x:v>0.3058823529411765</x:v>
      </x:c>
      <x:c r="AF243" s="45" t="n">
        <x:v>0.44411764705882356</x:v>
      </x:c>
      <x:c r="AG243" s="45" t="n">
        <x:v>0.6568627450980392</x:v>
      </x:c>
      <x:c r="AH243" s="44" t="n">
        <x:v>0.8529411764705882</x:v>
      </x:c>
      <x:c r="AI243" s="44" t="n">
        <x:v>0.2647058823529412</x:v>
      </x:c>
      <x:c r="AJ243" s="45" t="n">
        <x:v>0.8529411764705882</x:v>
      </x:c>
      <x:c r="AK243" s="45" t="n">
        <x:v>0.3138888888888889</x:v>
      </x:c>
      <x:c r="AL243" s="45" t="n">
        <x:v>0.47162309368191724</x:v>
      </x:c>
      <x:c r="AM243" s="44" t="n">
        <x:v>0.5504901960784314</x:v>
      </x:c>
    </x:row>
    <x:row r="244" ht="15" hidden="0" customHeight="1">
      <x:c r="A244" s="44" t="str">
        <x:v>139-015</x:v>
      </x:c>
      <x:c r="B244" s="44" t="str">
        <x:v>Jaulian stupa and monastery</x:v>
      </x:c>
      <x:c r="C244" s="44" t="n">
        <x:v>1000</x:v>
      </x:c>
      <x:c r="D244" s="44" t="str">
        <x:v>E2024</x:v>
      </x:c>
      <x:c r="E244" s="44" t="n">
        <x:v>2024</x:v>
      </x:c>
      <x:c r="F244" s="44" t="n">
        <x:v>3490</x:v>
      </x:c>
      <x:c r="G244" s="45" t="n">
        <x:v>0.5444291830062866</x:v>
      </x:c>
      <x:c r="H244" s="44" t="n">
        <x:v>0.3804781138896942</x:v>
      </x:c>
      <x:c r="I244" s="44" t="n">
        <x:v>0.6822241544723511</x:v>
      </x:c>
      <x:c r="J244" s="45" t="n">
        <x:v>-0.13299289345741272</x:v>
      </x:c>
      <x:c r="K244" s="44" t="n">
        <x:v>-0.260537326335907</x:v>
      </x:c>
      <x:c r="L244" s="44" t="n">
        <x:v>-0.01558521669358015</x:v>
      </x:c>
      <x:c r="M244" s="45" t="n">
        <x:v>-0.43828773498535156</x:v>
      </x:c>
      <x:c r="N244" s="44" t="n">
        <x:v>-0.48398807644844055</x:v>
      </x:c>
      <x:c r="O244" s="44" t="n">
        <x:v>-0.3776307702064514</x:v>
      </x:c>
      <x:c r="P244" s="45" t="n">
        <x:v>-0.05034042149782181</x:v>
      </x:c>
      <x:c r="Q244" s="44" t="n">
        <x:v>-0.17986907064914703</x:v>
      </x:c>
      <x:c r="R244" s="44" t="n">
        <x:v>0.058531008660793304</x:v>
      </x:c>
      <x:c r="S244" s="44" t="n">
        <x:v>3490</x:v>
      </x:c>
      <x:c r="T244" s="44" t="n">
        <x:v>0.0495702005730659</x:v>
      </x:c>
      <x:c r="U244" s="44" t="n">
        <x:v>0.006876790830945559</x:v>
      </x:c>
      <x:c r="V244" s="44" t="n">
        <x:v>0.17822349570200574</x:v>
      </x:c>
      <x:c r="W244" s="44" t="n">
        <x:v>0.48911174785100286</x:v>
      </x:c>
      <x:c r="X244" s="44" t="n">
        <x:v>0.27621776504297996</x:v>
      </x:c>
      <x:c r="Y244" s="44" t="n">
        <x:v>0</x:v>
      </x:c>
      <x:c r="Z244" s="44" t="n">
        <x:v>0.07647058823529412</x:v>
      </x:c>
      <x:c r="AA244" s="45" t="n">
        <x:v>0.9588235294117647</x:v>
      </x:c>
      <x:c r="AB244" s="45" t="n">
        <x:v>0.12352941176470589</x:v>
      </x:c>
      <x:c r="AC244" s="45" t="n">
        <x:v>0.2529411764705882</x:v>
      </x:c>
      <x:c r="AD244" s="44" t="n">
        <x:v>0.40588235294117647</x:v>
      </x:c>
      <x:c r="AE244" s="44" t="n">
        <x:v>0.1</x:v>
      </x:c>
      <x:c r="AF244" s="45" t="n">
        <x:v>0.5294117647058824</x:v>
      </x:c>
      <x:c r="AG244" s="45" t="n">
        <x:v>0.6568627450980392</x:v>
      </x:c>
      <x:c r="AH244" s="44" t="n">
        <x:v>0.8529411764705882</x:v>
      </x:c>
      <x:c r="AI244" s="44" t="n">
        <x:v>0.2647058823529412</x:v>
      </x:c>
      <x:c r="AJ244" s="45" t="n">
        <x:v>0.8529411764705882</x:v>
      </x:c>
      <x:c r="AK244" s="45" t="n">
        <x:v>0.5259259259259259</x:v>
      </x:c>
      <x:c r="AL244" s="45" t="n">
        <x:v>0.5707334785766158</x:v>
      </x:c>
      <x:c r="AM244" s="44" t="n">
        <x:v>0.5931372549019608</x:v>
      </x:c>
    </x:row>
    <x:row r="245" ht="15" hidden="0" customHeight="1">
      <x:c r="A245" s="44" t="str">
        <x:v>139-016</x:v>
      </x:c>
      <x:c r="B245" s="44" t="str">
        <x:v>Lalchak mounds</x:v>
      </x:c>
      <x:c r="C245" s="44" t="n">
        <x:v>1000</x:v>
      </x:c>
      <x:c r="D245" s="44" t="str">
        <x:v>E2004</x:v>
      </x:c>
      <x:c r="E245" s="44" t="n">
        <x:v>2004</x:v>
      </x:c>
      <x:c r="F245" s="44" t="n">
        <x:v>3489</x:v>
      </x:c>
      <x:c r="G245" s="45" t="n">
        <x:v>0.432150274515152</x:v>
      </x:c>
      <x:c r="H245" s="44" t="n">
        <x:v>0.3505573272705078</x:v>
      </x:c>
      <x:c r="I245" s="44" t="n">
        <x:v>0.5203045010566711</x:v>
      </x:c>
      <x:c r="J245" s="45" t="n">
        <x:v>-0.06712070107460022</x:v>
      </x:c>
      <x:c r="K245" s="44" t="n">
        <x:v>-0.14451897144317627</x:v>
      </x:c>
      <x:c r="L245" s="44" t="n">
        <x:v>0.0051950979977846146</x:v>
      </x:c>
      <x:c r="M245" s="45" t="n">
        <x:v>-0.4231571555137634</x:v>
      </x:c>
      <x:c r="N245" s="44" t="n">
        <x:v>-0.4476388096809387</x:v>
      </x:c>
      <x:c r="O245" s="44" t="n">
        <x:v>-0.39732906222343445</x:v>
      </x:c>
      <x:c r="P245" s="45" t="n">
        <x:v>0.01569002866744995</x:v>
      </x:c>
      <x:c r="Q245" s="44" t="n">
        <x:v>-0.05853140726685524</x:v>
      </x:c>
      <x:c r="R245" s="44" t="n">
        <x:v>0.08097841590642929</x:v>
      </x:c>
      <x:c r="S245" s="44" t="n">
        <x:v>3489</x:v>
      </x:c>
      <x:c r="T245" s="44" t="n">
        <x:v>0.01662367440527372</x:v>
      </x:c>
      <x:c r="U245" s="44" t="n">
        <x:v>0.0008598452278589854</x:v>
      </x:c>
      <x:c r="V245" s="44" t="n">
        <x:v>0.6560619088564058</x:v>
      </x:c>
      <x:c r="W245" s="44" t="n">
        <x:v>0.16910289481226712</x:v>
      </x:c>
      <x:c r="X245" s="44" t="n">
        <x:v>0.15735167669819433</x:v>
      </x:c>
      <x:c r="Y245" s="44" t="n">
        <x:v>0</x:v>
      </x:c>
      <x:c r="Z245" s="44" t="n">
        <x:v>0.3941176470588235</x:v>
      </x:c>
      <x:c r="AA245" s="45" t="n">
        <x:v>0.7</x:v>
      </x:c>
      <x:c r="AB245" s="45" t="n">
        <x:v>0.4</x:v>
      </x:c>
      <x:c r="AC245" s="45" t="n">
        <x:v>0.06470588235294118</x:v>
      </x:c>
      <x:c r="AD245" s="44" t="n">
        <x:v>0.10588235294117647</x:v>
      </x:c>
      <x:c r="AE245" s="44" t="n">
        <x:v>0.3970588235294118</x:v>
      </x:c>
      <x:c r="AF245" s="45" t="n">
        <x:v>0.5485294117647059</x:v>
      </x:c>
      <x:c r="AG245" s="45" t="n">
        <x:v>0.3235294117647059</x:v>
      </x:c>
      <x:c r="AH245" s="44" t="n">
        <x:v>0.029411764705882353</x:v>
      </x:c>
      <x:c r="AI245" s="44" t="n">
        <x:v>0.9117647058823529</x:v>
      </x:c>
      <x:c r="AJ245" s="45" t="n">
        <x:v>0.029411764705882353</x:v>
      </x:c>
      <x:c r="AK245" s="45" t="n">
        <x:v>0.5166666666666666</x:v>
      </x:c>
      <x:c r="AL245" s="45" t="n">
        <x:v>0.4629084967320261</x:v>
      </x:c>
      <x:c r="AM245" s="44" t="n">
        <x:v>0.4360294117647059</x:v>
      </x:c>
    </x:row>
    <x:row r="246" ht="15" hidden="0" customHeight="1">
      <x:c r="A246" s="44" t="str">
        <x:v>139-016</x:v>
      </x:c>
      <x:c r="B246" s="44" t="str">
        <x:v>Lalchak mounds</x:v>
      </x:c>
      <x:c r="C246" s="44" t="n">
        <x:v>1000</x:v>
      </x:c>
      <x:c r="D246" s="44" t="str">
        <x:v>E2009</x:v>
      </x:c>
      <x:c r="E246" s="44" t="n">
        <x:v>2009</x:v>
      </x:c>
      <x:c r="F246" s="44" t="n">
        <x:v>3489</x:v>
      </x:c>
      <x:c r="G246" s="45" t="n">
        <x:v>0.42902758717536926</x:v>
      </x:c>
      <x:c r="H246" s="44" t="n">
        <x:v>0.33666709065437317</x:v>
      </x:c>
      <x:c r="I246" s="44" t="n">
        <x:v>0.5193153023719788</x:v>
      </x:c>
      <x:c r="J246" s="45" t="n">
        <x:v>-0.06718496233224869</x:v>
      </x:c>
      <x:c r="K246" s="44" t="n">
        <x:v>-0.14338797330856323</x:v>
      </x:c>
      <x:c r="L246" s="44" t="n">
        <x:v>0.007102504838258028</x:v>
      </x:c>
      <x:c r="M246" s="45" t="n">
        <x:v>-0.41856053471565247</x:v>
      </x:c>
      <x:c r="N246" s="44" t="n">
        <x:v>-0.44325000047683716</x:v>
      </x:c>
      <x:c r="O246" s="44" t="n">
        <x:v>-0.38931864500045776</x:v>
      </x:c>
      <x:c r="P246" s="45" t="n">
        <x:v>0.011772270314395428</x:v>
      </x:c>
      <x:c r="Q246" s="44" t="n">
        <x:v>-0.06280517578125</x:v>
      </x:c>
      <x:c r="R246" s="44" t="n">
        <x:v>0.0821775421500206</x:v>
      </x:c>
      <x:c r="S246" s="44" t="n">
        <x:v>3489</x:v>
      </x:c>
      <x:c r="T246" s="44" t="n">
        <x:v>0.03869303525365434</x:v>
      </x:c>
      <x:c r="U246" s="44" t="n">
        <x:v>0.0008598452278589854</x:v>
      </x:c>
      <x:c r="V246" s="44" t="n">
        <x:v>0.7431928919461164</x:v>
      </x:c>
      <x:c r="W246" s="44" t="n">
        <x:v>0.11837202636858699</x:v>
      </x:c>
      <x:c r="X246" s="44" t="n">
        <x:v>0.09888220120378331</x:v>
      </x:c>
      <x:c r="Y246" s="44" t="n">
        <x:v>0</x:v>
      </x:c>
      <x:c r="Z246" s="44" t="n">
        <x:v>0.4294117647058823</x:v>
      </x:c>
      <x:c r="AA246" s="45" t="n">
        <x:v>0.5470588235294118</x:v>
      </x:c>
      <x:c r="AB246" s="45" t="n">
        <x:v>0.38235294117647056</x:v>
      </x:c>
      <x:c r="AC246" s="45" t="n">
        <x:v>0.1588235294117647</x:v>
      </x:c>
      <x:c r="AD246" s="44" t="n">
        <x:v>0.10588235294117647</x:v>
      </x:c>
      <x:c r="AE246" s="44" t="n">
        <x:v>0.40588235294117647</x:v>
      </x:c>
      <x:c r="AF246" s="45" t="n">
        <x:v>0.47647058823529415</x:v>
      </x:c>
      <x:c r="AG246" s="45" t="n">
        <x:v>0.3235294117647059</x:v>
      </x:c>
      <x:c r="AH246" s="44" t="n">
        <x:v>0.029411764705882353</x:v>
      </x:c>
      <x:c r="AI246" s="44" t="n">
        <x:v>0.9117647058823529</x:v>
      </x:c>
      <x:c r="AJ246" s="45" t="n">
        <x:v>0.029411764705882353</x:v>
      </x:c>
      <x:c r="AK246" s="45" t="n">
        <x:v>0.462037037037037</x:v>
      </x:c>
      <x:c r="AL246" s="45" t="n">
        <x:v>0.420679012345679</x:v>
      </x:c>
      <x:c r="AM246" s="44" t="n">
        <x:v>0.4</x:v>
      </x:c>
    </x:row>
    <x:row r="247" ht="15" hidden="0" customHeight="1">
      <x:c r="A247" s="44" t="str">
        <x:v>139-016</x:v>
      </x:c>
      <x:c r="B247" s="44" t="str">
        <x:v>Lalchak mounds</x:v>
      </x:c>
      <x:c r="C247" s="44" t="n">
        <x:v>1000</x:v>
      </x:c>
      <x:c r="D247" s="44" t="str">
        <x:v>E2014</x:v>
      </x:c>
      <x:c r="E247" s="44" t="n">
        <x:v>2014</x:v>
      </x:c>
      <x:c r="F247" s="44" t="n">
        <x:v>3485</x:v>
      </x:c>
      <x:c r="G247" s="45" t="n">
        <x:v>0.4838181734085083</x:v>
      </x:c>
      <x:c r="H247" s="44" t="n">
        <x:v>0.31341084837913513</x:v>
      </x:c>
      <x:c r="I247" s="44" t="n">
        <x:v>0.6650732159614563</x:v>
      </x:c>
      <x:c r="J247" s="45" t="n">
        <x:v>-0.09400403499603271</x:v>
      </x:c>
      <x:c r="K247" s="44" t="n">
        <x:v>-0.26379039883613586</x:v>
      </x:c>
      <x:c r="L247" s="44" t="n">
        <x:v>0.024517258629202843</x:v>
      </x:c>
      <x:c r="M247" s="45" t="n">
        <x:v>-0.42184364795684814</x:v>
      </x:c>
      <x:c r="N247" s="44" t="n">
        <x:v>-0.44756072759628296</x:v>
      </x:c>
      <x:c r="O247" s="44" t="n">
        <x:v>-0.3856811225414276</x:v>
      </x:c>
      <x:c r="P247" s="45" t="n">
        <x:v>-0.012642384506762028</x:v>
      </x:c>
      <x:c r="Q247" s="44" t="n">
        <x:v>-0.1790904402732849</x:v>
      </x:c>
      <x:c r="R247" s="44" t="n">
        <x:v>0.09495449811220169</x:v>
      </x:c>
      <x:c r="S247" s="44" t="n">
        <x:v>3485</x:v>
      </x:c>
      <x:c r="T247" s="44" t="n">
        <x:v>0.08350071736011477</x:v>
      </x:c>
      <x:c r="U247" s="44" t="n">
        <x:v>0.006599713055954089</x:v>
      </x:c>
      <x:c r="V247" s="44" t="n">
        <x:v>0.412051649928264</x:v>
      </x:c>
      <x:c r="W247" s="44" t="n">
        <x:v>0.39626972740315636</x:v>
      </x:c>
      <x:c r="X247" s="44" t="n">
        <x:v>0.10157819225251076</x:v>
      </x:c>
      <x:c r="Y247" s="44" t="n">
        <x:v>0</x:v>
      </x:c>
      <x:c r="Z247" s="44" t="n">
        <x:v>0.22941176470588234</x:v>
      </x:c>
      <x:c r="AA247" s="45" t="n">
        <x:v>0.6411764705882353</x:v>
      </x:c>
      <x:c r="AB247" s="45" t="n">
        <x:v>0.27647058823529413</x:v>
      </x:c>
      <x:c r="AC247" s="45" t="n">
        <x:v>0.4647058823529412</x:v>
      </x:c>
      <x:c r="AD247" s="44" t="n">
        <x:v>0.38235294117647056</x:v>
      </x:c>
      <x:c r="AE247" s="44" t="n">
        <x:v>0.2529411764705882</x:v>
      </x:c>
      <x:c r="AF247" s="45" t="n">
        <x:v>0.4470588235294118</x:v>
      </x:c>
      <x:c r="AG247" s="45" t="n">
        <x:v>0.3235294117647059</x:v>
      </x:c>
      <x:c r="AH247" s="44" t="n">
        <x:v>0.029411764705882353</x:v>
      </x:c>
      <x:c r="AI247" s="44" t="n">
        <x:v>0.9117647058823529</x:v>
      </x:c>
      <x:c r="AJ247" s="45" t="n">
        <x:v>0.029411764705882353</x:v>
      </x:c>
      <x:c r="AK247" s="45" t="n">
        <x:v>0.4842592592592592</x:v>
      </x:c>
      <x:c r="AL247" s="45" t="n">
        <x:v>0.418282498184459</x:v>
      </x:c>
      <x:c r="AM247" s="44" t="n">
        <x:v>0.38529411764705884</x:v>
      </x:c>
    </x:row>
    <x:row r="248" ht="15" hidden="0" customHeight="1">
      <x:c r="A248" s="44" t="str">
        <x:v>139-016</x:v>
      </x:c>
      <x:c r="B248" s="44" t="str">
        <x:v>Lalchak mounds</x:v>
      </x:c>
      <x:c r="C248" s="44" t="n">
        <x:v>1000</x:v>
      </x:c>
      <x:c r="D248" s="44" t="str">
        <x:v>E2019</x:v>
      </x:c>
      <x:c r="E248" s="44" t="n">
        <x:v>2019</x:v>
      </x:c>
      <x:c r="F248" s="44" t="n">
        <x:v>3429</x:v>
      </x:c>
      <x:c r="G248" s="45" t="n">
        <x:v>0.48700517416000366</x:v>
      </x:c>
      <x:c r="H248" s="44" t="n">
        <x:v>0.33812567591667175</x:v>
      </x:c>
      <x:c r="I248" s="44" t="n">
        <x:v>0.6296184659004211</x:v>
      </x:c>
      <x:c r="J248" s="45" t="n">
        <x:v>-0.12196771055459976</x:v>
      </x:c>
      <x:c r="K248" s="44" t="n">
        <x:v>-0.25179311633110046</x:v>
      </x:c>
      <x:c r="L248" s="44" t="n">
        <x:v>-0.00939461961388588</x:v>
      </x:c>
      <x:c r="M248" s="45" t="n">
        <x:v>-0.408976674079895</x:v>
      </x:c>
      <x:c r="N248" s="44" t="n">
        <x:v>-0.4358530044555664</x:v>
      </x:c>
      <x:c r="O248" s="44" t="n">
        <x:v>-0.3633449673652649</x:v>
      </x:c>
      <x:c r="P248" s="45" t="n">
        <x:v>-0.030344152823090553</x:v>
      </x:c>
      <x:c r="Q248" s="44" t="n">
        <x:v>-0.15961411595344543</x:v>
      </x:c>
      <x:c r="R248" s="44" t="n">
        <x:v>0.06785188615322113</x:v>
      </x:c>
      <x:c r="S248" s="44" t="n">
        <x:v>3429</x:v>
      </x:c>
      <x:c r="T248" s="44" t="n">
        <x:v>0.11344415281423155</x:v>
      </x:c>
      <x:c r="U248" s="44" t="n">
        <x:v>0.0005832604257801109</x:v>
      </x:c>
      <x:c r="V248" s="44" t="n">
        <x:v>0.49285505978419364</x:v>
      </x:c>
      <x:c r="W248" s="44" t="n">
        <x:v>0.3648293963254593</x:v>
      </x:c>
      <x:c r="X248" s="44" t="n">
        <x:v>0.028288130650335374</x:v>
      </x:c>
      <x:c r="Y248" s="44" t="n">
        <x:v>0</x:v>
      </x:c>
      <x:c r="Z248" s="44" t="n">
        <x:v>0.20588235294117646</x:v>
      </x:c>
      <x:c r="AA248" s="45" t="n">
        <x:v>0.2529411764705882</x:v>
      </x:c>
      <x:c r="AB248" s="45" t="n">
        <x:v>0.1588235294117647</x:v>
      </x:c>
      <x:c r="AC248" s="45" t="n">
        <x:v>0.6764705882352942</x:v>
      </x:c>
      <x:c r="AD248" s="44" t="n">
        <x:v>0.06470588235294118</x:v>
      </x:c>
      <x:c r="AE248" s="44" t="n">
        <x:v>0.18235294117647058</x:v>
      </x:c>
      <x:c r="AF248" s="45" t="n">
        <x:v>0.21764705882352942</x:v>
      </x:c>
      <x:c r="AG248" s="45" t="n">
        <x:v>0.3235294117647059</x:v>
      </x:c>
      <x:c r="AH248" s="44" t="n">
        <x:v>0.029411764705882353</x:v>
      </x:c>
      <x:c r="AI248" s="44" t="n">
        <x:v>0.9117647058823529</x:v>
      </x:c>
      <x:c r="AJ248" s="45" t="n">
        <x:v>0.029411764705882353</x:v>
      </x:c>
      <x:c r="AK248" s="45" t="n">
        <x:v>0.3138888888888889</x:v>
      </x:c>
      <x:c r="AL248" s="45" t="n">
        <x:v>0.28502178649237475</x:v>
      </x:c>
      <x:c r="AM248" s="44" t="n">
        <x:v>0.2705882352941177</x:v>
      </x:c>
    </x:row>
    <x:row r="249" ht="15" hidden="0" customHeight="1">
      <x:c r="A249" s="44" t="str">
        <x:v>139-016</x:v>
      </x:c>
      <x:c r="B249" s="44" t="str">
        <x:v>Lalchak mounds</x:v>
      </x:c>
      <x:c r="C249" s="44" t="n">
        <x:v>1000</x:v>
      </x:c>
      <x:c r="D249" s="44" t="str">
        <x:v>E2024</x:v>
      </x:c>
      <x:c r="E249" s="44" t="n">
        <x:v>2024</x:v>
      </x:c>
      <x:c r="F249" s="44" t="n">
        <x:v>3483</x:v>
      </x:c>
      <x:c r="G249" s="45" t="n">
        <x:v>0.49251043796539307</x:v>
      </x:c>
      <x:c r="H249" s="44" t="n">
        <x:v>0.3492436110973358</x:v>
      </x:c>
      <x:c r="I249" s="44" t="n">
        <x:v>0.6118034720420837</x:v>
      </x:c>
      <x:c r="J249" s="45" t="n">
        <x:v>-0.10220178216695786</x:v>
      </x:c>
      <x:c r="K249" s="44" t="n">
        <x:v>-0.19907870888710022</x:v>
      </x:c>
      <x:c r="L249" s="44" t="n">
        <x:v>-0.011202282272279263</x:v>
      </x:c>
      <x:c r="M249" s="45" t="n">
        <x:v>-0.42989832162857056</x:v>
      </x:c>
      <x:c r="N249" s="44" t="n">
        <x:v>-0.4632551670074463</x:v>
      </x:c>
      <x:c r="O249" s="44" t="n">
        <x:v>-0.371772825717926</x:v>
      </x:c>
      <x:c r="P249" s="45" t="n">
        <x:v>-0.019582241773605347</x:v>
      </x:c>
      <x:c r="Q249" s="44" t="n">
        <x:v>-0.11497468501329422</x:v>
      </x:c>
      <x:c r="R249" s="44" t="n">
        <x:v>0.06324999034404755</x:v>
      </x:c>
      <x:c r="S249" s="44" t="n">
        <x:v>3483</x:v>
      </x:c>
      <x:c r="T249" s="44" t="n">
        <x:v>0.08814240597186333</x:v>
      </x:c>
      <x:c r="U249" s="44" t="n">
        <x:v>0.001435544071202986</x:v>
      </x:c>
      <x:c r="V249" s="44" t="n">
        <x:v>0.4590869939707149</x:v>
      </x:c>
      <x:c r="W249" s="44" t="n">
        <x:v>0.3161068044788975</x:v>
      </x:c>
      <x:c r="X249" s="44" t="n">
        <x:v>0.13522825150732126</x:v>
      </x:c>
      <x:c r="Y249" s="44" t="n">
        <x:v>0</x:v>
      </x:c>
      <x:c r="Z249" s="44" t="n">
        <x:v>0.19411764705882353</x:v>
      </x:c>
      <x:c r="AA249" s="45" t="n">
        <x:v>0.8529411764705882</x:v>
      </x:c>
      <x:c r="AB249" s="45" t="n">
        <x:v>0.2411764705882353</x:v>
      </x:c>
      <x:c r="AC249" s="45" t="n">
        <x:v>0.5235294117647059</x:v>
      </x:c>
      <x:c r="AD249" s="44" t="n">
        <x:v>0.18823529411764706</x:v>
      </x:c>
      <x:c r="AE249" s="44" t="n">
        <x:v>0.21764705882352942</x:v>
      </x:c>
      <x:c r="AF249" s="45" t="n">
        <x:v>0.5352941176470588</x:v>
      </x:c>
      <x:c r="AG249" s="45" t="n">
        <x:v>0.3235294117647059</x:v>
      </x:c>
      <x:c r="AH249" s="44" t="n">
        <x:v>0.029411764705882353</x:v>
      </x:c>
      <x:c r="AI249" s="44" t="n">
        <x:v>0.9117647058823529</x:v>
      </x:c>
      <x:c r="AJ249" s="45" t="n">
        <x:v>0.029411764705882353</x:v>
      </x:c>
      <x:c r="AK249" s="45" t="n">
        <x:v>0.5259259259259259</x:v>
      </x:c>
      <x:c r="AL249" s="45" t="n">
        <x:v>0.4615831517792302</x:v>
      </x:c>
      <x:c r="AM249" s="44" t="n">
        <x:v>0.4294117647058824</x:v>
      </x:c>
    </x:row>
    <x:row r="250" ht="15" hidden="0" customHeight="1">
      <x:c r="A250" s="44" t="str">
        <x:v>139-017</x:v>
      </x:c>
      <x:c r="B250" s="44" t="str">
        <x:v>Buddhist remains around Bhallar stupa</x:v>
      </x:c>
      <x:c r="C250" s="44" t="n">
        <x:v>1000</x:v>
      </x:c>
      <x:c r="D250" s="44" t="str">
        <x:v>E2004</x:v>
      </x:c>
      <x:c r="E250" s="44" t="n">
        <x:v>2004</x:v>
      </x:c>
      <x:c r="F250" s="44" t="n">
        <x:v>3494</x:v>
      </x:c>
      <x:c r="G250" s="45" t="n">
        <x:v>0.3260107636451721</x:v>
      </x:c>
      <x:c r="H250" s="44" t="n">
        <x:v>0.16805140674114227</x:v>
      </x:c>
      <x:c r="I250" s="44" t="n">
        <x:v>0.4351760745048523</x:v>
      </x:c>
      <x:c r="J250" s="45" t="n">
        <x:v>0.005688736215233803</x:v>
      </x:c>
      <x:c r="K250" s="44" t="n">
        <x:v>-0.1013684868812561</x:v>
      </x:c>
      <x:c r="L250" s="44" t="n">
        <x:v>0.07115013152360916</x:v>
      </x:c>
      <x:c r="M250" s="45" t="n">
        <x:v>-0.39870738983154297</x:v>
      </x:c>
      <x:c r="N250" s="44" t="n">
        <x:v>-0.436543732881546</x:v>
      </x:c>
      <x:c r="O250" s="44" t="n">
        <x:v>-0.31138721108436584</x:v>
      </x:c>
      <x:c r="P250" s="45" t="n">
        <x:v>0.08109091222286224</x:v>
      </x:c>
      <x:c r="Q250" s="44" t="n">
        <x:v>-0.017986083403229713</x:v>
      </x:c>
      <x:c r="R250" s="44" t="n">
        <x:v>0.13483954966068268</x:v>
      </x:c>
      <x:c r="S250" s="44" t="n">
        <x:v>3494</x:v>
      </x:c>
      <x:c r="T250" s="44" t="n">
        <x:v>0.3002289639381797</x:v>
      </x:c>
      <x:c r="U250" s="44" t="n">
        <x:v>0.048654836863194044</x:v>
      </x:c>
      <x:c r="V250" s="44" t="n">
        <x:v>0.5578133943903835</x:v>
      </x:c>
      <x:c r="W250" s="44" t="n">
        <x:v>0.03262736119061248</x:v>
      </x:c>
      <x:c r="X250" s="44" t="n">
        <x:v>0.06067544361763022</x:v>
      </x:c>
      <x:c r="Y250" s="44" t="n">
        <x:v>0</x:v>
      </x:c>
      <x:c r="Z250" s="44" t="n">
        <x:v>0.888235294117647</x:v>
      </x:c>
      <x:c r="AA250" s="45" t="n">
        <x:v>0.08823529411764706</x:v>
      </x:c>
      <x:c r="AB250" s="45" t="n">
        <x:v>0.8411764705882353</x:v>
      </x:c>
      <x:c r="AC250" s="45" t="n">
        <x:v>0.9470588235294117</x:v>
      </x:c>
      <x:c r="AD250" s="44" t="n">
        <x:v>0.8176470588235294</x:v>
      </x:c>
      <x:c r="AE250" s="44" t="n">
        <x:v>0.8647058823529412</x:v>
      </x:c>
      <x:c r="AF250" s="45" t="n">
        <x:v>0.47647058823529415</x:v>
      </x:c>
      <x:c r="AG250" s="45" t="n">
        <x:v>0.6568627450980392</x:v>
      </x:c>
      <x:c r="AH250" s="44" t="n">
        <x:v>0.6176470588235294</x:v>
      </x:c>
      <x:c r="AI250" s="44" t="n">
        <x:v>0.7352941176470589</x:v>
      </x:c>
      <x:c r="AJ250" s="45" t="n">
        <x:v>0.6176470588235294</x:v>
      </x:c>
      <x:c r="AK250" s="45" t="n">
        <x:v>0.5166666666666666</x:v>
      </x:c>
      <x:c r="AL250" s="45" t="n">
        <x:v>0.5499999999999999</x:v>
      </x:c>
      <x:c r="AM250" s="44" t="n">
        <x:v>0.5666666666666667</x:v>
      </x:c>
    </x:row>
    <x:row r="251" ht="15" hidden="0" customHeight="1">
      <x:c r="A251" s="44" t="str">
        <x:v>139-017</x:v>
      </x:c>
      <x:c r="B251" s="44" t="str">
        <x:v>Buddhist remains around Bhallar stupa</x:v>
      </x:c>
      <x:c r="C251" s="44" t="n">
        <x:v>1000</x:v>
      </x:c>
      <x:c r="D251" s="44" t="str">
        <x:v>E2009</x:v>
      </x:c>
      <x:c r="E251" s="44" t="n">
        <x:v>2009</x:v>
      </x:c>
      <x:c r="F251" s="44" t="n">
        <x:v>3494</x:v>
      </x:c>
      <x:c r="G251" s="45" t="n">
        <x:v>0.30493423342704773</x:v>
      </x:c>
      <x:c r="H251" s="44" t="n">
        <x:v>0.1513652503490448</x:v>
      </x:c>
      <x:c r="I251" s="44" t="n">
        <x:v>0.41312530636787415</x:v>
      </x:c>
      <x:c r="J251" s="45" t="n">
        <x:v>0.0172404944896698</x:v>
      </x:c>
      <x:c r="K251" s="44" t="n">
        <x:v>-0.08750176429748535</x:v>
      </x:c>
      <x:c r="L251" s="44" t="n">
        <x:v>0.08061832934617996</x:v>
      </x:c>
      <x:c r="M251" s="45" t="n">
        <x:v>-0.39193013310432434</x:v>
      </x:c>
      <x:c r="N251" s="44" t="n">
        <x:v>-0.4328034818172455</x:v>
      </x:c>
      <x:c r="O251" s="44" t="n">
        <x:v>-0.30917802453041077</x:v>
      </x:c>
      <x:c r="P251" s="45" t="n">
        <x:v>0.09009237587451935</x:v>
      </x:c>
      <x:c r="Q251" s="44" t="n">
        <x:v>-0.00644773431122303</x:v>
      </x:c>
      <x:c r="R251" s="44" t="n">
        <x:v>0.14128276705741882</x:v>
      </x:c>
      <x:c r="S251" s="44" t="n">
        <x:v>3494</x:v>
      </x:c>
      <x:c r="T251" s="44" t="n">
        <x:v>0.3397252432741843</x:v>
      </x:c>
      <x:c r="U251" s="44" t="n">
        <x:v>0.09759587864911276</x:v>
      </x:c>
      <x:c r="V251" s="44" t="n">
        <x:v>0.49084144247281053</x:v>
      </x:c>
      <x:c r="W251" s="44" t="n">
        <x:v>0.01917572982255295</x:v>
      </x:c>
      <x:c r="X251" s="44" t="n">
        <x:v>0.05266170578133944</x:v>
      </x:c>
      <x:c r="Y251" s="44" t="n">
        <x:v>0</x:v>
      </x:c>
      <x:c r="Z251" s="44" t="n">
        <x:v>0.9823529411764705</x:v>
      </x:c>
      <x:c r="AA251" s="45" t="n">
        <x:v>0.041176470588235294</x:v>
      </x:c>
      <x:c r="AB251" s="45" t="n">
        <x:v>0.9705882352941176</x:v>
      </x:c>
      <x:c r="AC251" s="45" t="n">
        <x:v>0.9823529411764705</x:v>
      </x:c>
      <x:c r="AD251" s="44" t="n">
        <x:v>0.9352941176470588</x:v>
      </x:c>
      <x:c r="AE251" s="44" t="n">
        <x:v>0.9764705882352941</x:v>
      </x:c>
      <x:c r="AF251" s="45" t="n">
        <x:v>0.5088235294117647</x:v>
      </x:c>
      <x:c r="AG251" s="45" t="n">
        <x:v>0.6568627450980392</x:v>
      </x:c>
      <x:c r="AH251" s="44" t="n">
        <x:v>0.6176470588235294</x:v>
      </x:c>
      <x:c r="AI251" s="44" t="n">
        <x:v>0.7352941176470589</x:v>
      </x:c>
      <x:c r="AJ251" s="45" t="n">
        <x:v>0.6176470588235294</x:v>
      </x:c>
      <x:c r="AK251" s="45" t="n">
        <x:v>0.462037037037037</x:v>
      </x:c>
      <x:c r="AL251" s="45" t="n">
        <x:v>0.5425744371822803</x:v>
      </x:c>
      <x:c r="AM251" s="44" t="n">
        <x:v>0.5828431372549019</x:v>
      </x:c>
    </x:row>
    <x:row r="252" ht="15" hidden="0" customHeight="1">
      <x:c r="A252" s="44" t="str">
        <x:v>139-017</x:v>
      </x:c>
      <x:c r="B252" s="44" t="str">
        <x:v>Buddhist remains around Bhallar stupa</x:v>
      </x:c>
      <x:c r="C252" s="44" t="n">
        <x:v>1000</x:v>
      </x:c>
      <x:c r="D252" s="44" t="str">
        <x:v>E2014</x:v>
      </x:c>
      <x:c r="E252" s="44" t="n">
        <x:v>2014</x:v>
      </x:c>
      <x:c r="F252" s="44" t="n">
        <x:v>2919</x:v>
      </x:c>
      <x:c r="G252" s="45" t="n">
        <x:v>0.3242760896682739</x:v>
      </x:c>
      <x:c r="H252" s="44" t="n">
        <x:v>0.20724862813949585</x:v>
      </x:c>
      <x:c r="I252" s="44" t="n">
        <x:v>0.48861223459243774</x:v>
      </x:c>
      <x:c r="J252" s="45" t="n">
        <x:v>-0.000287380360532552</x:v>
      </x:c>
      <x:c r="K252" s="44" t="n">
        <x:v>-0.12106442451477051</x:v>
      </x:c>
      <x:c r="L252" s="44" t="n">
        <x:v>0.07100290060043335</x:v>
      </x:c>
      <x:c r="M252" s="45" t="n">
        <x:v>-0.3866725564002991</x:v>
      </x:c>
      <x:c r="N252" s="44" t="n">
        <x:v>-0.4328436851501465</x:v>
      </x:c>
      <x:c r="O252" s="44" t="n">
        <x:v>-0.32452407479286194</x:v>
      </x:c>
      <x:c r="P252" s="45" t="n">
        <x:v>0.07826700061559677</x:v>
      </x:c>
      <x:c r="Q252" s="44" t="n">
        <x:v>-0.03151048719882965</x:v>
      </x:c>
      <x:c r="R252" s="44" t="n">
        <x:v>0.13669715821743011</x:v>
      </x:c>
      <x:c r="S252" s="44" t="n">
        <x:v>2919</x:v>
      </x:c>
      <x:c r="T252" s="44" t="n">
        <x:v>0.262761219595752</x:v>
      </x:c>
      <x:c r="U252" s="44" t="n">
        <x:v>0.09763617677286741</x:v>
      </x:c>
      <x:c r="V252" s="44" t="n">
        <x:v>0.4614594039054471</x:v>
      </x:c>
      <x:c r="W252" s="44" t="n">
        <x:v>0.07159986296676944</x:v>
      </x:c>
      <x:c r="X252" s="44" t="n">
        <x:v>0.1065433367591641</x:v>
      </x:c>
      <x:c r="Y252" s="44" t="n">
        <x:v>0</x:v>
      </x:c>
      <x:c r="Z252" s="44" t="n">
        <x:v>0.9</x:v>
      </x:c>
      <x:c r="AA252" s="45" t="n">
        <x:v>0.01764705882352941</x:v>
      </x:c>
      <x:c r="AB252" s="45" t="n">
        <x:v>0.7823529411764706</x:v>
      </x:c>
      <x:c r="AC252" s="45" t="n">
        <x:v>0.8764705882352941</x:v>
      </x:c>
      <x:c r="AD252" s="44" t="n">
        <x:v>0.9470588235294117</x:v>
      </x:c>
      <x:c r="AE252" s="44" t="n">
        <x:v>0.8411764705882353</x:v>
      </x:c>
      <x:c r="AF252" s="45" t="n">
        <x:v>0.4294117647058824</x:v>
      </x:c>
      <x:c r="AG252" s="45" t="n">
        <x:v>0.6568627450980392</x:v>
      </x:c>
      <x:c r="AH252" s="44" t="n">
        <x:v>0.6176470588235294</x:v>
      </x:c>
      <x:c r="AI252" s="44" t="n">
        <x:v>0.7352941176470589</x:v>
      </x:c>
      <x:c r="AJ252" s="45" t="n">
        <x:v>0.6176470588235294</x:v>
      </x:c>
      <x:c r="AK252" s="45" t="n">
        <x:v>0.4842592592592592</x:v>
      </x:c>
      <x:c r="AL252" s="45" t="n">
        <x:v>0.5235112563543937</x:v>
      </x:c>
      <x:c r="AM252" s="44" t="n">
        <x:v>0.5431372549019609</x:v>
      </x:c>
    </x:row>
    <x:row r="253" ht="15" hidden="0" customHeight="1">
      <x:c r="A253" s="44" t="str">
        <x:v>139-017</x:v>
      </x:c>
      <x:c r="B253" s="44" t="str">
        <x:v>Buddhist remains around Bhallar stupa</x:v>
      </x:c>
      <x:c r="C253" s="44" t="n">
        <x:v>1000</x:v>
      </x:c>
      <x:c r="D253" s="44" t="str">
        <x:v>E2019</x:v>
      </x:c>
      <x:c r="E253" s="44" t="n">
        <x:v>2019</x:v>
      </x:c>
      <x:c r="F253" s="44" t="n">
        <x:v>2911</x:v>
      </x:c>
      <x:c r="G253" s="45" t="n">
        <x:v>0.345770001411438</x:v>
      </x:c>
      <x:c r="H253" s="44" t="n">
        <x:v>0.19216258823871613</x:v>
      </x:c>
      <x:c r="I253" s="44" t="n">
        <x:v>0.4821263551712036</x:v>
      </x:c>
      <x:c r="J253" s="45" t="n">
        <x:v>-0.018188336864113808</x:v>
      </x:c>
      <x:c r="K253" s="44" t="n">
        <x:v>-0.13291925191879272</x:v>
      </x:c>
      <x:c r="L253" s="44" t="n">
        <x:v>0.05614890903234482</x:v>
      </x:c>
      <x:c r="M253" s="45" t="n">
        <x:v>-0.3833741247653961</x:v>
      </x:c>
      <x:c r="N253" s="44" t="n">
        <x:v>-0.4243409037590027</x:v>
      </x:c>
      <x:c r="O253" s="44" t="n">
        <x:v>-0.3036888539791107</x:v>
      </x:c>
      <x:c r="P253" s="45" t="n">
        <x:v>0.062439076602458954</x:v>
      </x:c>
      <x:c r="Q253" s="44" t="n">
        <x:v>-0.03874439746141434</x:v>
      </x:c>
      <x:c r="R253" s="44" t="n">
        <x:v>0.12723176181316376</x:v>
      </x:c>
      <x:c r="S253" s="44" t="n">
        <x:v>2911</x:v>
      </x:c>
      <x:c r="T253" s="44" t="n">
        <x:v>0.2665750601167983</x:v>
      </x:c>
      <x:c r="U253" s="44" t="n">
        <x:v>0.08828581243558914</x:v>
      </x:c>
      <x:c r="V253" s="44" t="n">
        <x:v>0.45139127447612504</x:v>
      </x:c>
      <x:c r="W253" s="44" t="n">
        <x:v>0.0663002404671934</x:v>
      </x:c>
      <x:c r="X253" s="44" t="n">
        <x:v>0.12744761250429407</x:v>
      </x:c>
      <x:c r="Y253" s="44" t="n">
        <x:v>0</x:v>
      </x:c>
      <x:c r="Z253" s="44" t="n">
        <x:v>0.7823529411764706</x:v>
      </x:c>
      <x:c r="AA253" s="45" t="n">
        <x:v>0.0058823529411764705</x:v>
      </x:c>
      <x:c r="AB253" s="45" t="n">
        <x:v>0.711764705882353</x:v>
      </x:c>
      <x:c r="AC253" s="45" t="n">
        <x:v>0.888235294117647</x:v>
      </x:c>
      <x:c r="AD253" s="44" t="n">
        <x:v>0.9</x:v>
      </x:c>
      <x:c r="AE253" s="44" t="n">
        <x:v>0.7470588235294118</x:v>
      </x:c>
      <x:c r="AF253" s="45" t="n">
        <x:v>0.3764705882352941</x:v>
      </x:c>
      <x:c r="AG253" s="45" t="n">
        <x:v>0.6568627450980392</x:v>
      </x:c>
      <x:c r="AH253" s="44" t="n">
        <x:v>0.6176470588235294</x:v>
      </x:c>
      <x:c r="AI253" s="44" t="n">
        <x:v>0.7352941176470589</x:v>
      </x:c>
      <x:c r="AJ253" s="45" t="n">
        <x:v>0.6176470588235294</x:v>
      </x:c>
      <x:c r="AK253" s="45" t="n">
        <x:v>0.3138888888888889</x:v>
      </x:c>
      <x:c r="AL253" s="45" t="n">
        <x:v>0.449074074074074</x:v>
      </x:c>
      <x:c r="AM253" s="44" t="n">
        <x:v>0.5166666666666666</x:v>
      </x:c>
    </x:row>
    <x:row r="254" ht="15" hidden="0" customHeight="1">
      <x:c r="A254" s="44" t="str">
        <x:v>139-017</x:v>
      </x:c>
      <x:c r="B254" s="44" t="str">
        <x:v>Buddhist remains around Bhallar stupa</x:v>
      </x:c>
      <x:c r="C254" s="44" t="n">
        <x:v>1000</x:v>
      </x:c>
      <x:c r="D254" s="44" t="str">
        <x:v>E2024</x:v>
      </x:c>
      <x:c r="E254" s="44" t="n">
        <x:v>2024</x:v>
      </x:c>
      <x:c r="F254" s="44" t="n">
        <x:v>3266</x:v>
      </x:c>
      <x:c r="G254" s="45" t="n">
        <x:v>0.3416663706302643</x:v>
      </x:c>
      <x:c r="H254" s="44" t="n">
        <x:v>0.1756162941455841</x:v>
      </x:c>
      <x:c r="I254" s="44" t="n">
        <x:v>0.5209028720855713</x:v>
      </x:c>
      <x:c r="J254" s="45" t="n">
        <x:v>-0.007244106847792864</x:v>
      </x:c>
      <x:c r="K254" s="44" t="n">
        <x:v>-0.13012948632240295</x:v>
      </x:c>
      <x:c r="L254" s="44" t="n">
        <x:v>0.07242784649133682</x:v>
      </x:c>
      <x:c r="M254" s="45" t="n">
        <x:v>-0.39349040389060974</x:v>
      </x:c>
      <x:c r="N254" s="44" t="n">
        <x:v>-0.440970778465271</x:v>
      </x:c>
      <x:c r="O254" s="44" t="n">
        <x:v>-0.3079950213432312</x:v>
      </x:c>
      <x:c r="P254" s="45" t="n">
        <x:v>0.07086791098117828</x:v>
      </x:c>
      <x:c r="Q254" s="44" t="n">
        <x:v>-0.04557821899652481</x:v>
      </x:c>
      <x:c r="R254" s="44" t="n">
        <x:v>0.13898643851280212</x:v>
      </x:c>
      <x:c r="S254" s="44" t="n">
        <x:v>3266</x:v>
      </x:c>
      <x:c r="T254" s="44" t="n">
        <x:v>0.23055725658297613</x:v>
      </x:c>
      <x:c r="U254" s="44" t="n">
        <x:v>0.09522351500306185</x:v>
      </x:c>
      <x:c r="V254" s="44" t="n">
        <x:v>0.4503980404164115</x:v>
      </x:c>
      <x:c r="W254" s="44" t="n">
        <x:v>0.0964482547458665</x:v>
      </x:c>
      <x:c r="X254" s="44" t="n">
        <x:v>0.12737293325168403</x:v>
      </x:c>
      <x:c r="Y254" s="44" t="n">
        <x:v>0</x:v>
      </x:c>
      <x:c r="Z254" s="44" t="n">
        <x:v>0.8176470588235294</x:v>
      </x:c>
      <x:c r="AA254" s="45" t="n">
        <x:v>0.052941176470588235</x:v>
      </x:c>
      <x:c r="AB254" s="45" t="n">
        <x:v>0.7470588235294118</x:v>
      </x:c>
      <x:c r="AC254" s="45" t="n">
        <x:v>0.8529411764705882</x:v>
      </x:c>
      <x:c r="AD254" s="44" t="n">
        <x:v>0.9117647058823529</x:v>
      </x:c>
      <x:c r="AE254" s="44" t="n">
        <x:v>0.7823529411764706</x:v>
      </x:c>
      <x:c r="AF254" s="45" t="n">
        <x:v>0.4176470588235294</x:v>
      </x:c>
      <x:c r="AG254" s="45" t="n">
        <x:v>0.6568627450980392</x:v>
      </x:c>
      <x:c r="AH254" s="44" t="n">
        <x:v>0.6176470588235294</x:v>
      </x:c>
      <x:c r="AI254" s="44" t="n">
        <x:v>0.7352941176470589</x:v>
      </x:c>
      <x:c r="AJ254" s="45" t="n">
        <x:v>0.6176470588235294</x:v>
      </x:c>
      <x:c r="AK254" s="45" t="n">
        <x:v>0.5259259259259259</x:v>
      </x:c>
      <x:c r="AL254" s="45" t="n">
        <x:v>0.5334785766158315</x:v>
      </x:c>
      <x:c r="AM254" s="44" t="n">
        <x:v>0.5372549019607843</x:v>
      </x:c>
    </x:row>
    <x:row r="255" ht="15" hidden="0" customHeight="1">
      <x:c r="A255" s="44" t="str">
        <x:v>139-018</x:v>
      </x:c>
      <x:c r="B255" s="44" t="str">
        <x:v>Giri Mosque and tombs</x:v>
      </x:c>
      <x:c r="C255" s="44" t="n">
        <x:v>1000</x:v>
      </x:c>
      <x:c r="D255" s="44" t="str">
        <x:v>E2004</x:v>
      </x:c>
      <x:c r="E255" s="44" t="n">
        <x:v>2004</x:v>
      </x:c>
      <x:c r="F255" s="44" t="n">
        <x:v>3491</x:v>
      </x:c>
      <x:c r="G255" s="45" t="n">
        <x:v>0.5313573479652405</x:v>
      </x:c>
      <x:c r="H255" s="44" t="n">
        <x:v>0.3985341489315033</x:v>
      </x:c>
      <x:c r="I255" s="44" t="n">
        <x:v>0.6227130889892578</x:v>
      </x:c>
      <x:c r="J255" s="45" t="n">
        <x:v>-0.16156181693077087</x:v>
      </x:c>
      <x:c r="K255" s="44" t="n">
        <x:v>-0.28529322147369385</x:v>
      </x:c>
      <x:c r="L255" s="44" t="n">
        <x:v>-0.020878314971923828</x:v>
      </x:c>
      <x:c r="M255" s="45" t="n">
        <x:v>-0.41487056016921997</x:v>
      </x:c>
      <x:c r="N255" s="44" t="n">
        <x:v>-0.47210246324539185</x:v>
      </x:c>
      <x:c r="O255" s="44" t="n">
        <x:v>-0.30918392539024353</x:v>
      </x:c>
      <x:c r="P255" s="45" t="n">
        <x:v>-0.07725658267736435</x:v>
      </x:c>
      <x:c r="Q255" s="44" t="n">
        <x:v>-0.18822342157363892</x:v>
      </x:c>
      <x:c r="R255" s="44" t="n">
        <x:v>0.05657634139060974</x:v>
      </x:c>
      <x:c r="S255" s="44" t="n">
        <x:v>3491</x:v>
      </x:c>
      <x:c r="T255" s="44" t="n">
        <x:v>0.0146089945574334</x:v>
      </x:c>
      <x:c r="U255" s="44" t="n">
        <x:v>0.0005729017473503294</x:v>
      </x:c>
      <x:c r="V255" s="44" t="n">
        <x:v>0.12431967917502149</x:v>
      </x:c>
      <x:c r="W255" s="44" t="n">
        <x:v>0.5889429962761387</x:v>
      </x:c>
      <x:c r="X255" s="44" t="n">
        <x:v>0.27155542824405615</x:v>
      </x:c>
      <x:c r="Y255" s="44" t="n">
        <x:v>0</x:v>
      </x:c>
      <x:c r="Z255" s="44" t="n">
        <x:v>0.11176470588235295</x:v>
      </x:c>
      <x:c r="AA255" s="45" t="n">
        <x:v>0.3941176470588235</x:v>
      </x:c>
      <x:c r="AB255" s="45" t="n">
        <x:v>0.08823529411764706</x:v>
      </x:c>
      <x:c r="AC255" s="45" t="n">
        <x:v>0.052941176470588235</x:v>
      </x:c>
      <x:c r="AD255" s="44" t="n">
        <x:v>0.041176470588235294</x:v>
      </x:c>
      <x:c r="AE255" s="44" t="n">
        <x:v>0.1</x:v>
      </x:c>
      <x:c r="AF255" s="45" t="n">
        <x:v>0.24705882352941178</x:v>
      </x:c>
      <x:c r="AG255" s="45" t="n">
        <x:v>0.6372549019607843</x:v>
      </x:c>
      <x:c r="AH255" s="44" t="n">
        <x:v>0.9705882352941176</x:v>
      </x:c>
      <x:c r="AI255" s="44" t="n">
        <x:v>0.029411764705882353</x:v>
      </x:c>
      <x:c r="AJ255" s="45" t="n">
        <x:v>0.9117647058823529</x:v>
      </x:c>
      <x:c r="AK255" s="45" t="n">
        <x:v>0.5166666666666666</x:v>
      </x:c>
      <x:c r="AL255" s="45" t="n">
        <x:v>0.46699346405228753</x:v>
      </x:c>
      <x:c r="AM255" s="44" t="n">
        <x:v>0.442156862745098</x:v>
      </x:c>
    </x:row>
    <x:row r="256" ht="15" hidden="0" customHeight="1">
      <x:c r="A256" s="44" t="str">
        <x:v>139-018</x:v>
      </x:c>
      <x:c r="B256" s="44" t="str">
        <x:v>Giri Mosque and tombs</x:v>
      </x:c>
      <x:c r="C256" s="44" t="n">
        <x:v>1000</x:v>
      </x:c>
      <x:c r="D256" s="44" t="str">
        <x:v>E2009</x:v>
      </x:c>
      <x:c r="E256" s="44" t="n">
        <x:v>2009</x:v>
      </x:c>
      <x:c r="F256" s="44" t="n">
        <x:v>3491</x:v>
      </x:c>
      <x:c r="G256" s="45" t="n">
        <x:v>0.4943636655807495</x:v>
      </x:c>
      <x:c r="H256" s="44" t="n">
        <x:v>0.3603947162628174</x:v>
      </x:c>
      <x:c r="I256" s="44" t="n">
        <x:v>0.5917727947235107</x:v>
      </x:c>
      <x:c r="J256" s="45" t="n">
        <x:v>-0.12783750891685486</x:v>
      </x:c>
      <x:c r="K256" s="44" t="n">
        <x:v>-0.250578910112381</x:v>
      </x:c>
      <x:c r="L256" s="44" t="n">
        <x:v>0.0053324042819440365</x:v>
      </x:c>
      <x:c r="M256" s="45" t="n">
        <x:v>-0.41355693340301514</x:v>
      </x:c>
      <x:c r="N256" s="44" t="n">
        <x:v>-0.4700354337692261</x:v>
      </x:c>
      <x:c r="O256" s="44" t="n">
        <x:v>-0.31898659467697144</x:v>
      </x:c>
      <x:c r="P256" s="45" t="n">
        <x:v>-0.048976656049489975</x:v>
      </x:c>
      <x:c r="Q256" s="44" t="n">
        <x:v>-0.16369971632957458</x:v>
      </x:c>
      <x:c r="R256" s="44" t="n">
        <x:v>0.079090915620327</x:v>
      </x:c>
      <x:c r="S256" s="44" t="n">
        <x:v>3491</x:v>
      </x:c>
      <x:c r="T256" s="44" t="n">
        <x:v>0.03466055571469493</x:v>
      </x:c>
      <x:c r="U256" s="44" t="n">
        <x:v>0.0022916069894013177</x:v>
      </x:c>
      <x:c r="V256" s="44" t="n">
        <x:v>0.17817244342595245</x:v>
      </x:c>
      <x:c r="W256" s="44" t="n">
        <x:v>0.47694070466914923</x:v>
      </x:c>
      <x:c r="X256" s="44" t="n">
        <x:v>0.3079346892008021</x:v>
      </x:c>
      <x:c r="Y256" s="44" t="n">
        <x:v>0</x:v>
      </x:c>
      <x:c r="Z256" s="44" t="n">
        <x:v>0.18235294117647058</x:v>
      </x:c>
      <x:c r="AA256" s="45" t="n">
        <x:v>0.3352941176470588</x:v>
      </x:c>
      <x:c r="AB256" s="45" t="n">
        <x:v>0.14705882352941177</x:v>
      </x:c>
      <x:c r="AC256" s="45" t="n">
        <x:v>0.13529411764705881</x:v>
      </x:c>
      <x:c r="AD256" s="44" t="n">
        <x:v>0.21764705882352942</x:v>
      </x:c>
      <x:c r="AE256" s="44" t="n">
        <x:v>0.16470588235294117</x:v>
      </x:c>
      <x:c r="AF256" s="45" t="n">
        <x:v>0.25</x:v>
      </x:c>
      <x:c r="AG256" s="45" t="n">
        <x:v>0.6372549019607843</x:v>
      </x:c>
      <x:c r="AH256" s="44" t="n">
        <x:v>0.9705882352941176</x:v>
      </x:c>
      <x:c r="AI256" s="44" t="n">
        <x:v>0.029411764705882353</x:v>
      </x:c>
      <x:c r="AJ256" s="45" t="n">
        <x:v>0.9117647058823529</x:v>
      </x:c>
      <x:c r="AK256" s="45" t="n">
        <x:v>0.462037037037037</x:v>
      </x:c>
      <x:c r="AL256" s="45" t="n">
        <x:v>0.44976397966594045</x:v>
      </x:c>
      <x:c r="AM256" s="44" t="n">
        <x:v>0.44362745098039214</x:v>
      </x:c>
    </x:row>
    <x:row r="257" ht="15" hidden="0" customHeight="1">
      <x:c r="A257" s="44" t="str">
        <x:v>139-018</x:v>
      </x:c>
      <x:c r="B257" s="44" t="str">
        <x:v>Giri Mosque and tombs</x:v>
      </x:c>
      <x:c r="C257" s="44" t="n">
        <x:v>1000</x:v>
      </x:c>
      <x:c r="D257" s="44" t="str">
        <x:v>E2014</x:v>
      </x:c>
      <x:c r="E257" s="44" t="n">
        <x:v>2014</x:v>
      </x:c>
      <x:c r="F257" s="44" t="n">
        <x:v>3483</x:v>
      </x:c>
      <x:c r="G257" s="45" t="n">
        <x:v>0.5531600713729858</x:v>
      </x:c>
      <x:c r="H257" s="44" t="n">
        <x:v>0.3925212025642395</x:v>
      </x:c>
      <x:c r="I257" s="44" t="n">
        <x:v>0.720405101776123</x:v>
      </x:c>
      <x:c r="J257" s="45" t="n">
        <x:v>-0.18171831965446472</x:v>
      </x:c>
      <x:c r="K257" s="44" t="n">
        <x:v>-0.37468430399894714</x:v>
      </x:c>
      <x:c r="L257" s="44" t="n">
        <x:v>-0.009253334254026413</x:v>
      </x:c>
      <x:c r="M257" s="45" t="n">
        <x:v>-0.43299174308776855</x:v>
      </x:c>
      <x:c r="N257" s="44" t="n">
        <x:v>-0.48744767904281616</x:v>
      </x:c>
      <x:c r="O257" s="44" t="n">
        <x:v>-0.16829204559326172</x:v>
      </x:c>
      <x:c r="P257" s="45" t="n">
        <x:v>-0.09779921174049377</x:v>
      </x:c>
      <x:c r="Q257" s="44" t="n">
        <x:v>-0.26920583844184875</x:v>
      </x:c>
      <x:c r="R257" s="44" t="n">
        <x:v>0.06342187523841858</x:v>
      </x:c>
      <x:c r="S257" s="44" t="n">
        <x:v>3483</x:v>
      </x:c>
      <x:c r="T257" s="44" t="n">
        <x:v>0.017226528854435832</x:v>
      </x:c>
      <x:c r="U257" s="44" t="n">
        <x:v>0.005455067470571347</x:v>
      </x:c>
      <x:c r="V257" s="44" t="n">
        <x:v>0.08728107952914155</x:v>
      </x:c>
      <x:c r="W257" s="44" t="n">
        <x:v>0.6141257536606374</x:v>
      </x:c>
      <x:c r="X257" s="44" t="n">
        <x:v>0.2759115704852139</x:v>
      </x:c>
      <x:c r="Y257" s="44" t="n">
        <x:v>0</x:v>
      </x:c>
      <x:c r="Z257" s="44" t="n">
        <x:v>0.041176470588235294</x:v>
      </x:c>
      <x:c r="AA257" s="45" t="n">
        <x:v>0.888235294117647</x:v>
      </x:c>
      <x:c r="AB257" s="45" t="n">
        <x:v>0.029411764705882353</x:v>
      </x:c>
      <x:c r="AC257" s="45" t="n">
        <x:v>0.08823529411764706</x:v>
      </x:c>
      <x:c r="AD257" s="44" t="n">
        <x:v>0.3352941176470588</x:v>
      </x:c>
      <x:c r="AE257" s="44" t="n">
        <x:v>0.03529411764705882</x:v>
      </x:c>
      <x:c r="AF257" s="45" t="n">
        <x:v>0.4617647058823529</x:v>
      </x:c>
      <x:c r="AG257" s="45" t="n">
        <x:v>0.6372549019607843</x:v>
      </x:c>
      <x:c r="AH257" s="44" t="n">
        <x:v>0.9705882352941176</x:v>
      </x:c>
      <x:c r="AI257" s="44" t="n">
        <x:v>0.029411764705882353</x:v>
      </x:c>
      <x:c r="AJ257" s="45" t="n">
        <x:v>0.9117647058823529</x:v>
      </x:c>
      <x:c r="AK257" s="45" t="n">
        <x:v>0.4842592592592592</x:v>
      </x:c>
      <x:c r="AL257" s="45" t="n">
        <x:v>0.5277596223674654</x:v>
      </x:c>
      <x:c r="AM257" s="44" t="n">
        <x:v>0.5495098039215686</x:v>
      </x:c>
    </x:row>
    <x:row r="258" ht="15" hidden="0" customHeight="1">
      <x:c r="A258" s="44" t="str">
        <x:v>139-018</x:v>
      </x:c>
      <x:c r="B258" s="44" t="str">
        <x:v>Giri Mosque and tombs</x:v>
      </x:c>
      <x:c r="C258" s="44" t="n">
        <x:v>1000</x:v>
      </x:c>
      <x:c r="D258" s="44" t="str">
        <x:v>E2019</x:v>
      </x:c>
      <x:c r="E258" s="44" t="n">
        <x:v>2019</x:v>
      </x:c>
      <x:c r="F258" s="44" t="n">
        <x:v>3466</x:v>
      </x:c>
      <x:c r="G258" s="45" t="n">
        <x:v>0.5245875120162964</x:v>
      </x:c>
      <x:c r="H258" s="44" t="n">
        <x:v>0.3700560927391052</x:v>
      </x:c>
      <x:c r="I258" s="44" t="n">
        <x:v>0.700816810131073</x:v>
      </x:c>
      <x:c r="J258" s="45" t="n">
        <x:v>-0.161577045917511</x:v>
      </x:c>
      <x:c r="K258" s="44" t="n">
        <x:v>-0.3348177671432495</x:v>
      </x:c>
      <x:c r="L258" s="44" t="n">
        <x:v>-0.015738261863589287</x:v>
      </x:c>
      <x:c r="M258" s="45" t="n">
        <x:v>-0.4322758913040161</x:v>
      </x:c>
      <x:c r="N258" s="44" t="n">
        <x:v>-0.48438310623168945</x:v>
      </x:c>
      <x:c r="O258" s="44" t="n">
        <x:v>-0.23346993327140808</x:v>
      </x:c>
      <x:c r="P258" s="45" t="n">
        <x:v>-0.0772576779127121</x:v>
      </x:c>
      <x:c r="Q258" s="44" t="n">
        <x:v>-0.2416938841342926</x:v>
      </x:c>
      <x:c r="R258" s="44" t="n">
        <x:v>0.06508296728134155</x:v>
      </x:c>
      <x:c r="S258" s="44" t="n">
        <x:v>3466</x:v>
      </x:c>
      <x:c r="T258" s="44" t="n">
        <x:v>0.023658395845354875</x:v>
      </x:c>
      <x:c r="U258" s="44" t="n">
        <x:v>0.003462204270051933</x:v>
      </x:c>
      <x:c r="V258" s="44" t="n">
        <x:v>0.10213502596653203</x:v>
      </x:c>
      <x:c r="W258" s="44" t="n">
        <x:v>0.5354875937680323</x:v>
      </x:c>
      <x:c r="X258" s="44" t="n">
        <x:v>0.33525678015002885</x:v>
      </x:c>
      <x:c r="Y258" s="44" t="n">
        <x:v>0</x:v>
      </x:c>
      <x:c r="Z258" s="44" t="n">
        <x:v>0.12352941176470589</x:v>
      </x:c>
      <x:c r="AA258" s="45" t="n">
        <x:v>0.8764705882352941</x:v>
      </x:c>
      <x:c r="AB258" s="45" t="n">
        <x:v>0.07647058823529412</x:v>
      </x:c>
      <x:c r="AC258" s="45" t="n">
        <x:v>0.11176470588235295</x:v>
      </x:c>
      <x:c r="AD258" s="44" t="n">
        <x:v>0.27647058823529413</x:v>
      </x:c>
      <x:c r="AE258" s="44" t="n">
        <x:v>0.1</x:v>
      </x:c>
      <x:c r="AF258" s="45" t="n">
        <x:v>0.48823529411764705</x:v>
      </x:c>
      <x:c r="AG258" s="45" t="n">
        <x:v>0.6372549019607843</x:v>
      </x:c>
      <x:c r="AH258" s="44" t="n">
        <x:v>0.9705882352941176</x:v>
      </x:c>
      <x:c r="AI258" s="44" t="n">
        <x:v>0.029411764705882353</x:v>
      </x:c>
      <x:c r="AJ258" s="45" t="n">
        <x:v>0.9117647058823529</x:v>
      </x:c>
      <x:c r="AK258" s="45" t="n">
        <x:v>0.3138888888888889</x:v>
      </x:c>
      <x:c r="AL258" s="45" t="n">
        <x:v>0.4797930283224401</x:v>
      </x:c>
      <x:c r="AM258" s="44" t="n">
        <x:v>0.5627450980392157</x:v>
      </x:c>
    </x:row>
    <x:row r="259" ht="15" hidden="0" customHeight="1">
      <x:c r="A259" s="44" t="str">
        <x:v>139-018</x:v>
      </x:c>
      <x:c r="B259" s="44" t="str">
        <x:v>Giri Mosque and tombs</x:v>
      </x:c>
      <x:c r="C259" s="44" t="n">
        <x:v>1000</x:v>
      </x:c>
      <x:c r="D259" s="44" t="str">
        <x:v>E2024</x:v>
      </x:c>
      <x:c r="E259" s="44" t="n">
        <x:v>2024</x:v>
      </x:c>
      <x:c r="F259" s="44" t="n">
        <x:v>3477</x:v>
      </x:c>
      <x:c r="G259" s="45" t="n">
        <x:v>0.6282167434692383</x:v>
      </x:c>
      <x:c r="H259" s="44" t="n">
        <x:v>0.4741838872432709</x:v>
      </x:c>
      <x:c r="I259" s="44" t="n">
        <x:v>0.7338172197341919</x:v>
      </x:c>
      <x:c r="J259" s="45" t="n">
        <x:v>-0.20925791561603546</x:v>
      </x:c>
      <x:c r="K259" s="44" t="n">
        <x:v>-0.3299831748008728</x:v>
      </x:c>
      <x:c r="L259" s="44" t="n">
        <x:v>-0.0715651661157608</x:v>
      </x:c>
      <x:c r="M259" s="45" t="n">
        <x:v>-0.4474499523639679</x:v>
      </x:c>
      <x:c r="N259" s="44" t="n">
        <x:v>-0.48828744888305664</x:v>
      </x:c>
      <x:c r="O259" s="44" t="n">
        <x:v>-0.37017056345939636</x:v>
      </x:c>
      <x:c r="P259" s="45" t="n">
        <x:v>-0.12821727991104126</x:v>
      </x:c>
      <x:c r="Q259" s="44" t="n">
        <x:v>-0.2437492161989212</x:v>
      </x:c>
      <x:c r="R259" s="44" t="n">
        <x:v>0.007685367949306965</x:v>
      </x:c>
      <x:c r="S259" s="44" t="n">
        <x:v>3477</x:v>
      </x:c>
      <x:c r="T259" s="44" t="n">
        <x:v>0.014380212827149842</x:v>
      </x:c>
      <x:c r="U259" s="44" t="n">
        <x:v>0</x:v>
      </x:c>
      <x:c r="V259" s="44" t="n">
        <x:v>0.07880356629278114</x:v>
      </x:c>
      <x:c r="W259" s="44" t="n">
        <x:v>0.732815645671556</x:v>
      </x:c>
      <x:c r="X259" s="44" t="n">
        <x:v>0.1740005752085131</x:v>
      </x:c>
      <x:c r="Y259" s="44" t="n">
        <x:v>0</x:v>
      </x:c>
      <x:c r="Z259" s="44" t="n">
        <x:v>0.01764705882352941</x:v>
      </x:c>
      <x:c r="AA259" s="45" t="n">
        <x:v>0.9823529411764705</x:v>
      </x:c>
      <x:c r="AB259" s="45" t="n">
        <x:v>0.01764705882352941</x:v>
      </x:c>
      <x:c r="AC259" s="45" t="n">
        <x:v>0.041176470588235294</x:v>
      </x:c>
      <x:c r="AD259" s="44" t="n">
        <x:v>0.0058823529411764705</x:v>
      </x:c>
      <x:c r="AE259" s="44" t="n">
        <x:v>0.01764705882352941</x:v>
      </x:c>
      <x:c r="AF259" s="45" t="n">
        <x:v>0.5</x:v>
      </x:c>
      <x:c r="AG259" s="45" t="n">
        <x:v>0.6372549019607843</x:v>
      </x:c>
      <x:c r="AH259" s="44" t="n">
        <x:v>0.9705882352941176</x:v>
      </x:c>
      <x:c r="AI259" s="44" t="n">
        <x:v>0.029411764705882353</x:v>
      </x:c>
      <x:c r="AJ259" s="45" t="n">
        <x:v>0.9117647058823529</x:v>
      </x:c>
      <x:c r="AK259" s="45" t="n">
        <x:v>0.5259259259259259</x:v>
      </x:c>
      <x:c r="AL259" s="45" t="n">
        <x:v>0.55439360929557</x:v>
      </x:c>
      <x:c r="AM259" s="44" t="n">
        <x:v>0.5686274509803921</x:v>
      </x:c>
    </x:row>
  </x:sheetData>
  <x:mergeCells>
    <x:mergeCell ref="A1:AM1"/>
    <x:mergeCell ref="A2:AM2"/>
  </x:mergeCells>
  <x:pageMargins left="0.7" right="0.7" top="0.75" bottom="0.75" header="0.3" footer="0.3"/>
  <x:tableParts count="1">
    <x:tablePart xmlns:r="http://schemas.openxmlformats.org/officeDocument/2006/relationships" r:id="R04e8fc35ea314f4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1" customHeight="1">
      <x:c r="A1" s="34" t="str">
        <x:v>Monte Carlo domain-weight uncertainty</x:v>
      </x:c>
      <x:c r="B1" s="35"/>
      <x:c r="C1" s="35"/>
      <x:c r="D1" s="35"/>
      <x:c r="E1" s="35"/>
      <x:c r="F1" s="35"/>
      <x:c r="G1" s="35"/>
      <x:c r="H1" s="35"/>
      <x:c r="I1" s="35"/>
      <x:c r="J1" s="35"/>
    </x:row>
    <x:row r="2" ht="30" customHeight="1">
      <x:c r="A2" s="36" t="str">
        <x:v>Fifty thousand Dirichlet weight draws; rank 1 is highest priority</x:v>
      </x:c>
      <x:c r="B2" s="35"/>
      <x:c r="C2" s="35"/>
      <x:c r="D2" s="35"/>
      <x:c r="E2" s="35"/>
      <x:c r="F2" s="35"/>
      <x:c r="G2" s="35"/>
      <x:c r="H2" s="35"/>
      <x:c r="I2" s="35"/>
      <x:c r="J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</x:row>
    <x:row r="4" ht="33" customHeight="1">
      <x:c r="A4" s="43" t="str">
        <x:v>component_id</x:v>
      </x:c>
      <x:c r="B4" s="43" t="str">
        <x:v>component_name</x:v>
      </x:c>
      <x:c r="C4" s="43" t="str">
        <x:v>equal_domain_score</x:v>
      </x:c>
      <x:c r="D4" s="43" t="str">
        <x:v>equal_domain_rank</x:v>
      </x:c>
      <x:c r="E4" s="43" t="str">
        <x:v>monte_carlo_median_rank</x:v>
      </x:c>
      <x:c r="F4" s="43" t="str">
        <x:v>rank_p2_5</x:v>
      </x:c>
      <x:c r="G4" s="43" t="str">
        <x:v>rank_p97_5</x:v>
      </x:c>
      <x:c r="H4" s="43" t="str">
        <x:v>probability_top_5</x:v>
      </x:c>
      <x:c r="I4" s="43" t="str">
        <x:v>probability_top_3</x:v>
      </x:c>
      <x:c r="J4" s="43" t="str">
        <x:v>weight_draws</x:v>
      </x:c>
    </x:row>
    <x:row r="5" ht="15" hidden="0" customHeight="1">
      <x:c r="A5" s="44" t="str">
        <x:v>139-009</x:v>
      </x:c>
      <x:c r="B5" s="44" t="str">
        <x:v>Giri complex of monuments</x:v>
      </x:c>
      <x:c r="C5" s="45" t="n">
        <x:v>0.5694262890341321</x:v>
      </x:c>
      <x:c r="D5" s="44" t="n">
        <x:v>1</x:v>
      </x:c>
      <x:c r="E5" s="44" t="n">
        <x:v>1</x:v>
      </x:c>
      <x:c r="F5" s="44" t="n">
        <x:v>1</x:v>
      </x:c>
      <x:c r="G5" s="44" t="n">
        <x:v>9</x:v>
      </x:c>
      <x:c r="H5" s="47" t="n">
        <x:v>0.83178</x:v>
      </x:c>
      <x:c r="I5" s="47" t="n">
        <x:v>0.77398</x:v>
      </x:c>
      <x:c r="J5" s="44" t="n">
        <x:v>50000</x:v>
      </x:c>
    </x:row>
    <x:row r="6" ht="15" hidden="0" customHeight="1">
      <x:c r="A6" s="44" t="str">
        <x:v>139-018</x:v>
      </x:c>
      <x:c r="B6" s="44" t="str">
        <x:v>Giri Mosque and tombs</x:v>
      </x:c>
      <x:c r="C6" s="45" t="n">
        <x:v>0.5570079883805373</x:v>
      </x:c>
      <x:c r="D6" s="44" t="n">
        <x:v>2</x:v>
      </x:c>
      <x:c r="E6" s="44" t="n">
        <x:v>3</x:v>
      </x:c>
      <x:c r="F6" s="44" t="n">
        <x:v>2</x:v>
      </x:c>
      <x:c r="G6" s="44" t="n">
        <x:v>11</x:v>
      </x:c>
      <x:c r="H6" s="47" t="n">
        <x:v>0.73022</x:v>
      </x:c>
      <x:c r="I6" s="47" t="n">
        <x:v>0.67942</x:v>
      </x:c>
      <x:c r="J6" s="44" t="n">
        <x:v>50000</x:v>
      </x:c>
    </x:row>
    <x:row r="7" ht="15" hidden="0" customHeight="1">
      <x:c r="A7" s="44" t="str">
        <x:v>139-015</x:v>
      </x:c>
      <x:c r="B7" s="44" t="str">
        <x:v>Jaulian stupa and monastery</x:v>
      </x:c>
      <x:c r="C7" s="45" t="n">
        <x:v>0.5537400145243282</x:v>
      </x:c>
      <x:c r="D7" s="44" t="n">
        <x:v>3</x:v>
      </x:c>
      <x:c r="E7" s="44" t="n">
        <x:v>4</x:v>
      </x:c>
      <x:c r="F7" s="44" t="n">
        <x:v>2</x:v>
      </x:c>
      <x:c r="G7" s="44" t="n">
        <x:v>7</x:v>
      </x:c>
      <x:c r="H7" s="47" t="n">
        <x:v>0.83424</x:v>
      </x:c>
      <x:c r="I7" s="47" t="n">
        <x:v>0.44044</x:v>
      </x:c>
      <x:c r="J7" s="44" t="n">
        <x:v>50000</x:v>
      </x:c>
    </x:row>
    <x:row r="8" ht="15" hidden="0" customHeight="1">
      <x:c r="A8" s="44" t="str">
        <x:v>139-013</x:v>
      </x:c>
      <x:c r="B8" s="44" t="str">
        <x:v>Mohra Moradu stupa and monastery</x:v>
      </x:c>
      <x:c r="C8" s="45" t="n">
        <x:v>0.5347857661583152</x:v>
      </x:c>
      <x:c r="D8" s="44" t="n">
        <x:v>4</x:v>
      </x:c>
      <x:c r="E8" s="44" t="n">
        <x:v>5</x:v>
      </x:c>
      <x:c r="F8" s="44" t="n">
        <x:v>4</x:v>
      </x:c>
      <x:c r="G8" s="44" t="n">
        <x:v>11</x:v>
      </x:c>
      <x:c r="H8" s="47" t="n">
        <x:v>0.61448</x:v>
      </x:c>
      <x:c r="I8" s="47" t="n">
        <x:v>0</x:v>
      </x:c>
      <x:c r="J8" s="44" t="n">
        <x:v>50000</x:v>
      </x:c>
    </x:row>
    <x:row r="9" ht="15" hidden="0" customHeight="1">
      <x:c r="A9" s="44" t="str">
        <x:v>139-006</x:v>
      </x:c>
      <x:c r="B9" s="44" t="str">
        <x:v>Dharmarajika stupa and monastery</x:v>
      </x:c>
      <x:c r="C9" s="45" t="n">
        <x:v>0.5328249818445897</x:v>
      </x:c>
      <x:c r="D9" s="44" t="n">
        <x:v>5</x:v>
      </x:c>
      <x:c r="E9" s="44" t="n">
        <x:v>5</x:v>
      </x:c>
      <x:c r="F9" s="44" t="n">
        <x:v>2</x:v>
      </x:c>
      <x:c r="G9" s="44" t="n">
        <x:v>8</x:v>
      </x:c>
      <x:c r="H9" s="47" t="n">
        <x:v>0.51224</x:v>
      </x:c>
      <x:c r="I9" s="47" t="n">
        <x:v>0.21892</x:v>
      </x:c>
      <x:c r="J9" s="44" t="n">
        <x:v>50000</x:v>
      </x:c>
    </x:row>
    <x:row r="10" ht="15" hidden="0" customHeight="1">
      <x:c r="A10" s="44" t="str">
        <x:v>139-007</x:v>
      </x:c>
      <x:c r="B10" s="44" t="str">
        <x:v>Khader Mohra (Akhuri)</x:v>
      </x:c>
      <x:c r="C10" s="45" t="n">
        <x:v>0.5321713870733478</x:v>
      </x:c>
      <x:c r="D10" s="44" t="n">
        <x:v>6</x:v>
      </x:c>
      <x:c r="E10" s="44" t="n">
        <x:v>6</x:v>
      </x:c>
      <x:c r="F10" s="44" t="n">
        <x:v>5</x:v>
      </x:c>
      <x:c r="G10" s="44" t="n">
        <x:v>9</x:v>
      </x:c>
      <x:c r="H10" s="47" t="n">
        <x:v>0.0448</x:v>
      </x:c>
      <x:c r="I10" s="47" t="n">
        <x:v>0</x:v>
      </x:c>
      <x:c r="J10" s="44" t="n">
        <x:v>50000</x:v>
      </x:c>
    </x:row>
    <x:row r="11" ht="15" hidden="0" customHeight="1">
      <x:c r="A11" s="44" t="str">
        <x:v>139-008</x:v>
      </x:c>
      <x:c r="B11" s="44" t="str">
        <x:v>Kalawan group of buildings</x:v>
      </x:c>
      <x:c r="C11" s="45" t="n">
        <x:v>0.5213870733478576</x:v>
      </x:c>
      <x:c r="D11" s="44" t="n">
        <x:v>7</x:v>
      </x:c>
      <x:c r="E11" s="44" t="n">
        <x:v>7</x:v>
      </x:c>
      <x:c r="F11" s="44" t="n">
        <x:v>2</x:v>
      </x:c>
      <x:c r="G11" s="44" t="n">
        <x:v>9</x:v>
      </x:c>
      <x:c r="H11" s="47" t="n">
        <x:v>0.38552</x:v>
      </x:c>
      <x:c r="I11" s="47" t="n">
        <x:v>0.25416</x:v>
      </x:c>
      <x:c r="J11" s="44" t="n">
        <x:v>50000</x:v>
      </x:c>
    </x:row>
    <x:row r="12" ht="15" hidden="0" customHeight="1">
      <x:c r="A12" s="44" t="str">
        <x:v>139-017</x:v>
      </x:c>
      <x:c r="B12" s="44" t="str">
        <x:v>Buddhist remains around Bhallar stupa</x:v>
      </x:c>
      <x:c r="C12" s="45" t="n">
        <x:v>0.520079883805374</x:v>
      </x:c>
      <x:c r="D12" s="44" t="n">
        <x:v>8</x:v>
      </x:c>
      <x:c r="E12" s="44" t="n">
        <x:v>8</x:v>
      </x:c>
      <x:c r="F12" s="44" t="n">
        <x:v>1</x:v>
      </x:c>
      <x:c r="G12" s="44" t="n">
        <x:v>15</x:v>
      </x:c>
      <x:c r="H12" s="47" t="n">
        <x:v>0.44296</x:v>
      </x:c>
      <x:c r="I12" s="47" t="n">
        <x:v>0.3054</x:v>
      </x:c>
      <x:c r="J12" s="44" t="n">
        <x:v>50000</x:v>
      </x:c>
    </x:row>
    <x:row r="13" ht="15" hidden="0" customHeight="1">
      <x:c r="A13" s="44" t="str">
        <x:v>139-005</x:v>
      </x:c>
      <x:c r="B13" s="44" t="str">
        <x:v>Sirsukh (fortified ruined city)</x:v>
      </x:c>
      <x:c r="C13" s="45" t="n">
        <x:v>0.5096223674655047</x:v>
      </x:c>
      <x:c r="D13" s="44" t="n">
        <x:v>9</x:v>
      </x:c>
      <x:c r="E13" s="44" t="n">
        <x:v>9</x:v>
      </x:c>
      <x:c r="F13" s="44" t="n">
        <x:v>3</x:v>
      </x:c>
      <x:c r="G13" s="44" t="n">
        <x:v>11</x:v>
      </x:c>
      <x:c r="H13" s="47" t="n">
        <x:v>0.20212</x:v>
      </x:c>
      <x:c r="I13" s="47" t="n">
        <x:v>0.10166</x:v>
      </x:c>
      <x:c r="J13" s="44" t="n">
        <x:v>50000</x:v>
      </x:c>
    </x:row>
    <x:row r="14" ht="15" hidden="0" customHeight="1">
      <x:c r="A14" s="44" t="str">
        <x:v>139-014</x:v>
      </x:c>
      <x:c r="B14" s="44" t="str">
        <x:v>Pippala stupa and monastery</x:v>
      </x:c>
      <x:c r="C14" s="45" t="n">
        <x:v>0.5092955700798838</x:v>
      </x:c>
      <x:c r="D14" s="44" t="n">
        <x:v>10</x:v>
      </x:c>
      <x:c r="E14" s="44" t="n">
        <x:v>10</x:v>
      </x:c>
      <x:c r="F14" s="44" t="n">
        <x:v>7</x:v>
      </x:c>
      <x:c r="G14" s="44" t="n">
        <x:v>13</x:v>
      </x:c>
      <x:c r="H14" s="47" t="n">
        <x:v>0</x:v>
      </x:c>
      <x:c r="I14" s="47" t="n">
        <x:v>0</x:v>
      </x:c>
      <x:c r="J14" s="44" t="n">
        <x:v>50000</x:v>
      </x:c>
    </x:row>
    <x:row r="15" ht="15" hidden="0" customHeight="1">
      <x:c r="A15" s="44" t="str">
        <x:v>139-010</x:v>
      </x:c>
      <x:c r="B15" s="44" t="str">
        <x:v>Kunala stupa and monastery</x:v>
      </x:c>
      <x:c r="C15" s="45" t="n">
        <x:v>0.5092955700798838</x:v>
      </x:c>
      <x:c r="D15" s="44" t="n">
        <x:v>11</x:v>
      </x:c>
      <x:c r="E15" s="44" t="n">
        <x:v>10</x:v>
      </x:c>
      <x:c r="F15" s="44" t="n">
        <x:v>6</x:v>
      </x:c>
      <x:c r="G15" s="44" t="n">
        <x:v>10</x:v>
      </x:c>
      <x:c r="H15" s="47" t="n">
        <x:v>0.00876</x:v>
      </x:c>
      <x:c r="I15" s="47" t="n">
        <x:v>0</x:v>
      </x:c>
      <x:c r="J15" s="44" t="n">
        <x:v>50000</x:v>
      </x:c>
    </x:row>
    <x:row r="16" ht="15" hidden="0" customHeight="1">
      <x:c r="A16" s="44" t="str">
        <x:v>139-004</x:v>
      </x:c>
      <x:c r="B16" s="44" t="str">
        <x:v>Sirkap (fortified city)</x:v>
      </x:c>
      <x:c r="C16" s="45" t="n">
        <x:v>0.49524328249818445</x:v>
      </x:c>
      <x:c r="D16" s="44" t="n">
        <x:v>12</x:v>
      </x:c>
      <x:c r="E16" s="44" t="n">
        <x:v>12</x:v>
      </x:c>
      <x:c r="F16" s="44" t="n">
        <x:v>1</x:v>
      </x:c>
      <x:c r="G16" s="44" t="n">
        <x:v>15</x:v>
      </x:c>
      <x:c r="H16" s="47" t="n">
        <x:v>0.26978</x:v>
      </x:c>
      <x:c r="I16" s="47" t="n">
        <x:v>0.22602</x:v>
      </x:c>
      <x:c r="J16" s="44" t="n">
        <x:v>50000</x:v>
      </x:c>
    </x:row>
    <x:row r="17" ht="15" hidden="0" customHeight="1">
      <x:c r="A17" s="44" t="str">
        <x:v>139-016</x:v>
      </x:c>
      <x:c r="B17" s="44" t="str">
        <x:v>Lalchak mounds</x:v>
      </x:c>
      <x:c r="C17" s="45" t="n">
        <x:v>0.4726942628903413</x:v>
      </x:c>
      <x:c r="D17" s="44" t="n">
        <x:v>13</x:v>
      </x:c>
      <x:c r="E17" s="44" t="n">
        <x:v>13</x:v>
      </x:c>
      <x:c r="F17" s="44" t="n">
        <x:v>4</x:v>
      </x:c>
      <x:c r="G17" s="44" t="n">
        <x:v>16</x:v>
      </x:c>
      <x:c r="H17" s="47" t="n">
        <x:v>0.1231</x:v>
      </x:c>
      <x:c r="I17" s="47" t="n">
        <x:v>0</x:v>
      </x:c>
      <x:c r="J17" s="44" t="n">
        <x:v>50000</x:v>
      </x:c>
    </x:row>
    <x:row r="18" ht="15" hidden="0" customHeight="1">
      <x:c r="A18" s="44" t="str">
        <x:v>139-001</x:v>
      </x:c>
      <x:c r="B18" s="44" t="str">
        <x:v>Khanpur Cave</x:v>
      </x:c>
      <x:c r="C18" s="45" t="n">
        <x:v>0.46256354393609295</x:v>
      </x:c>
      <x:c r="D18" s="44" t="n">
        <x:v>14</x:v>
      </x:c>
      <x:c r="E18" s="44" t="n">
        <x:v>14</x:v>
      </x:c>
      <x:c r="F18" s="44" t="n">
        <x:v>12</x:v>
      </x:c>
      <x:c r="G18" s="44" t="n">
        <x:v>15</x:v>
      </x:c>
      <x:c r="H18" s="47" t="n">
        <x:v>0</x:v>
      </x:c>
      <x:c r="I18" s="47" t="n">
        <x:v>0</x:v>
      </x:c>
      <x:c r="J18" s="44" t="n">
        <x:v>50000</x:v>
      </x:c>
    </x:row>
    <x:row r="19" ht="15" hidden="0" customHeight="1">
      <x:c r="A19" s="44" t="str">
        <x:v>139-012</x:v>
      </x:c>
      <x:c r="B19" s="44" t="str">
        <x:v>Lalchak and Badalpur Buddhist stuppa</x:v>
      </x:c>
      <x:c r="C19" s="45" t="n">
        <x:v>0.4367465504720407</x:v>
      </x:c>
      <x:c r="D19" s="44" t="n">
        <x:v>15</x:v>
      </x:c>
      <x:c r="E19" s="44" t="n">
        <x:v>15</x:v>
      </x:c>
      <x:c r="F19" s="44" t="n">
        <x:v>12</x:v>
      </x:c>
      <x:c r="G19" s="44" t="n">
        <x:v>17</x:v>
      </x:c>
      <x:c r="H19" s="47" t="n">
        <x:v>0</x:v>
      </x:c>
      <x:c r="I19" s="47" t="n">
        <x:v>0</x:v>
      </x:c>
      <x:c r="J19" s="44" t="n">
        <x:v>50000</x:v>
      </x:c>
    </x:row>
    <x:row r="20" ht="15" hidden="0" customHeight="1">
      <x:c r="A20" s="44" t="str">
        <x:v>139-011</x:v>
      </x:c>
      <x:c r="B20" s="44" t="str">
        <x:v>Jandial complex</x:v>
      </x:c>
      <x:c r="C20" s="45" t="n">
        <x:v>0.4076615831517792</x:v>
      </x:c>
      <x:c r="D20" s="44" t="n">
        <x:v>16</x:v>
      </x:c>
      <x:c r="E20" s="44" t="n">
        <x:v>16</x:v>
      </x:c>
      <x:c r="F20" s="44" t="n">
        <x:v>13</x:v>
      </x:c>
      <x:c r="G20" s="44" t="n">
        <x:v>17</x:v>
      </x:c>
      <x:c r="H20" s="47" t="n">
        <x:v>0</x:v>
      </x:c>
      <x:c r="I20" s="47" t="n">
        <x:v>0</x:v>
      </x:c>
      <x:c r="J20" s="44" t="n">
        <x:v>50000</x:v>
      </x:c>
    </x:row>
    <x:row r="21" ht="15" hidden="0" customHeight="1">
      <x:c r="A21" s="44" t="str">
        <x:v>139-003</x:v>
      </x:c>
      <x:c r="B21" s="44" t="str">
        <x:v>Bhir Mound</x:v>
      </x:c>
      <x:c r="C21" s="45" t="n">
        <x:v>0.40177923021060274</x:v>
      </x:c>
      <x:c r="D21" s="44" t="n">
        <x:v>17</x:v>
      </x:c>
      <x:c r="E21" s="44" t="n">
        <x:v>16</x:v>
      </x:c>
      <x:c r="F21" s="44" t="n">
        <x:v>14</x:v>
      </x:c>
      <x:c r="G21" s="44" t="n">
        <x:v>17</x:v>
      </x:c>
      <x:c r="H21" s="47" t="n">
        <x:v>0</x:v>
      </x:c>
      <x:c r="I21" s="47" t="n">
        <x:v>0</x:v>
      </x:c>
      <x:c r="J21" s="44" t="n">
        <x:v>50000</x:v>
      </x:c>
    </x:row>
  </x:sheetData>
  <x:mergeCells>
    <x:mergeCell ref="A1:J1"/>
    <x:mergeCell ref="A2:J2"/>
  </x:mergeCells>
  <x:pageMargins left="0.7" right="0.7" top="0.75" bottom="0.75" header="0.3" footer="0.3"/>
  <x:drawing xmlns:r="http://schemas.openxmlformats.org/officeDocument/2006/relationships" r:id="R60e0ec23b8c44cf9"/>
  <x:tableParts count="1">
    <x:tablePart xmlns:r="http://schemas.openxmlformats.org/officeDocument/2006/relationships" r:id="Re1c401716da646fa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</x:cols>
  <x:sheetData>
    <x:row r="1" ht="31" customHeight="1">
      <x:c r="A1" s="34" t="str">
        <x:v>Spatially blocked proxy-model comparison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  <x:c r="O1" s="35"/>
      <x:c r="P1" s="35"/>
      <x:c r="Q1" s="35"/>
      <x:c r="R1" s="35"/>
      <x:c r="S1" s="35"/>
    </x:row>
    <x:row r="2" ht="30" customHeight="1">
      <x:c r="A2" s="36" t="str">
        <x:v>Outer test: 4,195 samples in 21 held-out blocks; 2,000 whole-block bootstrap resamples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  <x:c r="O2" s="35"/>
      <x:c r="P2" s="35"/>
      <x:c r="Q2" s="35"/>
      <x:c r="R2" s="35"/>
      <x:c r="S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  <x:c r="O3" s="35"/>
      <x:c r="P3" s="35"/>
      <x:c r="Q3" s="35"/>
      <x:c r="R3" s="35"/>
      <x:c r="S3" s="35"/>
    </x:row>
    <x:row r="4" ht="33" customHeight="1">
      <x:c r="A4" s="43" t="str">
        <x:v>model</x:v>
      </x:c>
      <x:c r="B4" s="43" t="str">
        <x:v>inner_blocked_cv_macro_f1</x:v>
      </x:c>
      <x:c r="C4" s="43" t="str">
        <x:v>outer_proxy_overall_agreement</x:v>
      </x:c>
      <x:c r="D4" s="43" t="str">
        <x:v>outer_proxy_balanced_accuracy</x:v>
      </x:c>
      <x:c r="E4" s="43" t="str">
        <x:v>outer_proxy_macro_f1</x:v>
      </x:c>
      <x:c r="F4" s="43" t="str">
        <x:v>outer_proxy_log_loss</x:v>
      </x:c>
      <x:c r="G4" s="43" t="str">
        <x:v>best_parameters</x:v>
      </x:c>
      <x:c r="H4" s="43" t="str">
        <x:v>development_samples</x:v>
      </x:c>
      <x:c r="I4" s="43" t="str">
        <x:v>outer_test_samples</x:v>
      </x:c>
      <x:c r="J4" s="43" t="str">
        <x:v>development_blocks</x:v>
      </x:c>
      <x:c r="K4" s="43" t="str">
        <x:v>outer_test_blocks</x:v>
      </x:c>
      <x:c r="L4" s="43" t="str">
        <x:v>block_overlap</x:v>
      </x:c>
      <x:c r="M4" s="43" t="str">
        <x:v>validation_role</x:v>
      </x:c>
      <x:c r="N4" s="43" t="str">
        <x:v>outer_proxy_macro_f1_ci_low</x:v>
      </x:c>
      <x:c r="O4" s="43" t="str">
        <x:v>outer_proxy_macro_f1_ci_high</x:v>
      </x:c>
      <x:c r="P4" s="43" t="str">
        <x:v>bootstrap_probability_best</x:v>
      </x:c>
      <x:c r="Q4" s="43" t="str">
        <x:v>macro_f1_difference_vs_point_best_low</x:v>
      </x:c>
      <x:c r="R4" s="43" t="str">
        <x:v>macro_f1_difference_vs_point_best_high</x:v>
      </x:c>
      <x:c r="S4" s="43" t="str">
        <x:v>spatial_block_bootstrap_draws</x:v>
      </x:c>
    </x:row>
    <x:row r="5" ht="15" hidden="0" customHeight="1">
      <x:c r="A5" s="44" t="str">
        <x:v>Neural MLP</x:v>
      </x:c>
      <x:c r="B5" s="45" t="n">
        <x:v>0.8774358538561354</x:v>
      </x:c>
      <x:c r="C5" s="45" t="n">
        <x:v>0.8693682955899881</x:v>
      </x:c>
      <x:c r="D5" s="45" t="n">
        <x:v>0.8870082208613931</x:v>
      </x:c>
      <x:c r="E5" s="45" t="n">
        <x:v>0.8870803659870798</x:v>
      </x:c>
      <x:c r="F5" s="45" t="n">
        <x:v>0.3436280883699073</x:v>
      </x:c>
      <x:c r="G5" s="44" t="str">
        <x:v>{"model__alpha": 0.0001, "model__hidden_layer_sizes": [64, 32]}</x:v>
      </x:c>
      <x:c r="H5" s="44" t="n">
        <x:v>16554</x:v>
      </x:c>
      <x:c r="I5" s="44" t="n">
        <x:v>4195</x:v>
      </x:c>
      <x:c r="J5" s="44" t="n">
        <x:v>79</x:v>
      </x:c>
      <x:c r="K5" s="44" t="n">
        <x:v>21</x:v>
      </x:c>
      <x:c r="L5" s="44" t="n">
        <x:v>0</x:v>
      </x:c>
      <x:c r="M5" s="44" t="str">
        <x:v>held_out_worldcover_consensus_proxy_agreement_not_independent_accuracy</x:v>
      </x:c>
      <x:c r="N5" s="45" t="n">
        <x:v>0.6662807901401956</x:v>
      </x:c>
      <x:c r="O5" s="45" t="n">
        <x:v>0.906166781145371</x:v>
      </x:c>
      <x:c r="P5" s="45" t="n">
        <x:v>0.4185</x:v>
      </x:c>
      <x:c r="Q5" s="45" t="n">
        <x:v>0</x:v>
      </x:c>
      <x:c r="R5" s="45" t="n">
        <x:v>0</x:v>
      </x:c>
      <x:c r="S5" s="44" t="n">
        <x:v>2000</x:v>
      </x:c>
    </x:row>
    <x:row r="6" ht="15" hidden="0" customHeight="1">
      <x:c r="A6" s="44" t="str">
        <x:v>Extra trees</x:v>
      </x:c>
      <x:c r="B6" s="45" t="n">
        <x:v>0.8662826008050286</x:v>
      </x:c>
      <x:c r="C6" s="45" t="n">
        <x:v>0.86865315852205</x:v>
      </x:c>
      <x:c r="D6" s="45" t="n">
        <x:v>0.8866949996411804</x:v>
      </x:c>
      <x:c r="E6" s="45" t="n">
        <x:v>0.8862492060921876</x:v>
      </x:c>
      <x:c r="F6" s="45" t="n">
        <x:v>0.36502328223986397</x:v>
      </x:c>
      <x:c r="G6" s="44" t="str">
        <x:v>{"max_depth": null, "min_samples_leaf": 3}</x:v>
      </x:c>
      <x:c r="H6" s="44" t="n">
        <x:v>16554</x:v>
      </x:c>
      <x:c r="I6" s="44" t="n">
        <x:v>4195</x:v>
      </x:c>
      <x:c r="J6" s="44" t="n">
        <x:v>79</x:v>
      </x:c>
      <x:c r="K6" s="44" t="n">
        <x:v>21</x:v>
      </x:c>
      <x:c r="L6" s="44" t="n">
        <x:v>0</x:v>
      </x:c>
      <x:c r="M6" s="44" t="str">
        <x:v>held_out_worldcover_consensus_proxy_agreement_not_independent_accuracy</x:v>
      </x:c>
      <x:c r="N6" s="45" t="n">
        <x:v>0.6698780563494856</x:v>
      </x:c>
      <x:c r="O6" s="45" t="n">
        <x:v>0.9005404367964404</x:v>
      </x:c>
      <x:c r="P6" s="45" t="n">
        <x:v>0.281</x:v>
      </x:c>
      <x:c r="Q6" s="45" t="n">
        <x:v>-0.013449703511856486</x:v>
      </x:c>
      <x:c r="R6" s="45" t="n">
        <x:v>0.01354127909199176</x:v>
      </x:c>
      <x:c r="S6" s="44" t="n">
        <x:v>2000</x:v>
      </x:c>
    </x:row>
    <x:row r="7" ht="15" hidden="0" customHeight="1">
      <x:c r="A7" s="44" t="str">
        <x:v>Random forest</x:v>
      </x:c>
      <x:c r="B7" s="45" t="n">
        <x:v>0.8644612049261439</x:v>
      </x:c>
      <x:c r="C7" s="45" t="n">
        <x:v>0.866507747318236</x:v>
      </x:c>
      <x:c r="D7" s="45" t="n">
        <x:v>0.8846935844463913</x:v>
      </x:c>
      <x:c r="E7" s="45" t="n">
        <x:v>0.8855144265525084</x:v>
      </x:c>
      <x:c r="F7" s="45" t="n">
        <x:v>0.36696563279399047</x:v>
      </x:c>
      <x:c r="G7" s="44" t="str">
        <x:v>{"max_depth": 16, "min_samples_leaf": 1}</x:v>
      </x:c>
      <x:c r="H7" s="44" t="n">
        <x:v>16554</x:v>
      </x:c>
      <x:c r="I7" s="44" t="n">
        <x:v>4195</x:v>
      </x:c>
      <x:c r="J7" s="44" t="n">
        <x:v>79</x:v>
      </x:c>
      <x:c r="K7" s="44" t="n">
        <x:v>21</x:v>
      </x:c>
      <x:c r="L7" s="44" t="n">
        <x:v>0</x:v>
      </x:c>
      <x:c r="M7" s="44" t="str">
        <x:v>held_out_worldcover_consensus_proxy_agreement_not_independent_accuracy</x:v>
      </x:c>
      <x:c r="N7" s="45" t="n">
        <x:v>0.6687903954166989</x:v>
      </x:c>
      <x:c r="O7" s="45" t="n">
        <x:v>0.8981365145672564</x:v>
      </x:c>
      <x:c r="P7" s="45" t="n">
        <x:v>0.0775</x:v>
      </x:c>
      <x:c r="Q7" s="45" t="n">
        <x:v>-0.014149174480858983</x:v>
      </x:c>
      <x:c r="R7" s="45" t="n">
        <x:v>0.011684059489004884</x:v>
      </x:c>
      <x:c r="S7" s="44" t="n">
        <x:v>2000</x:v>
      </x:c>
    </x:row>
    <x:row r="8" ht="15" hidden="0" customHeight="1">
      <x:c r="A8" s="44" t="str">
        <x:v>Histogram gradient boosting</x:v>
      </x:c>
      <x:c r="B8" s="45" t="n">
        <x:v>0.8666615924566548</x:v>
      </x:c>
      <x:c r="C8" s="45" t="n">
        <x:v>0.868414779499404</x:v>
      </x:c>
      <x:c r="D8" s="45" t="n">
        <x:v>0.8863965232805767</x:v>
      </x:c>
      <x:c r="E8" s="45" t="n">
        <x:v>0.8851744695974793</x:v>
      </x:c>
      <x:c r="F8" s="45" t="n">
        <x:v>0.3601807103711978</x:v>
      </x:c>
      <x:c r="G8" s="44" t="str">
        <x:v>{"learning_rate": 0.1, "max_leaf_nodes": 31}</x:v>
      </x:c>
      <x:c r="H8" s="44" t="n">
        <x:v>16554</x:v>
      </x:c>
      <x:c r="I8" s="44" t="n">
        <x:v>4195</x:v>
      </x:c>
      <x:c r="J8" s="44" t="n">
        <x:v>79</x:v>
      </x:c>
      <x:c r="K8" s="44" t="n">
        <x:v>21</x:v>
      </x:c>
      <x:c r="L8" s="44" t="n">
        <x:v>0</x:v>
      </x:c>
      <x:c r="M8" s="44" t="str">
        <x:v>held_out_worldcover_consensus_proxy_agreement_not_independent_accuracy</x:v>
      </x:c>
      <x:c r="N8" s="45" t="n">
        <x:v>0.6735370004844589</x:v>
      </x:c>
      <x:c r="O8" s="45" t="n">
        <x:v>0.9001282663501086</x:v>
      </x:c>
      <x:c r="P8" s="45" t="n">
        <x:v>0.223</x:v>
      </x:c>
      <x:c r="Q8" s="45" t="n">
        <x:v>-0.011755445520723922</x:v>
      </x:c>
      <x:c r="R8" s="45" t="n">
        <x:v>0.013571968883377066</x:v>
      </x:c>
      <x:c r="S8" s="44" t="n">
        <x:v>2000</x:v>
      </x:c>
    </x:row>
    <x:row r="9" ht="15" hidden="0" customHeight="1">
      <x:c r="A9" s="44" t="str">
        <x:v>Multinomial logistic</x:v>
      </x:c>
      <x:c r="B9" s="45" t="n">
        <x:v>0.8518856595881058</x:v>
      </x:c>
      <x:c r="C9" s="45" t="n">
        <x:v>0.8421930870083433</x:v>
      </x:c>
      <x:c r="D9" s="45" t="n">
        <x:v>0.8637290952797381</x:v>
      </x:c>
      <x:c r="E9" s="45" t="n">
        <x:v>0.8626192988498241</x:v>
      </x:c>
      <x:c r="F9" s="45" t="n">
        <x:v>0.42457066536595855</x:v>
      </x:c>
      <x:c r="G9" s="44" t="str">
        <x:v>{"model__C": 10.0}</x:v>
      </x:c>
      <x:c r="H9" s="44" t="n">
        <x:v>16554</x:v>
      </x:c>
      <x:c r="I9" s="44" t="n">
        <x:v>4195</x:v>
      </x:c>
      <x:c r="J9" s="44" t="n">
        <x:v>79</x:v>
      </x:c>
      <x:c r="K9" s="44" t="n">
        <x:v>21</x:v>
      </x:c>
      <x:c r="L9" s="44" t="n">
        <x:v>0</x:v>
      </x:c>
      <x:c r="M9" s="44" t="str">
        <x:v>held_out_worldcover_consensus_proxy_agreement_not_independent_accuracy</x:v>
      </x:c>
      <x:c r="N9" s="45" t="n">
        <x:v>0.6333311724459499</x:v>
      </x:c>
      <x:c r="O9" s="45" t="n">
        <x:v>0.8834297314132129</x:v>
      </x:c>
      <x:c r="P9" s="45" t="n">
        <x:v>0</x:v>
      </x:c>
      <x:c r="Q9" s="45" t="n">
        <x:v>-0.04643148653946486</x:v>
      </x:c>
      <x:c r="R9" s="45" t="n">
        <x:v>-0.015414854058740535</x:v>
      </x:c>
      <x:c r="S9" s="44" t="n">
        <x:v>2000</x:v>
      </x:c>
    </x:row>
  </x:sheetData>
  <x:mergeCells>
    <x:mergeCell ref="A1:S1"/>
    <x:mergeCell ref="A2:S2"/>
  </x:mergeCells>
  <x:pageMargins left="0.7" right="0.7" top="0.75" bottom="0.75" header="0.3" footer="0.3"/>
  <x:drawing xmlns:r="http://schemas.openxmlformats.org/officeDocument/2006/relationships" r:id="Rc217a66ca3c34694"/>
  <x:tableParts count="1">
    <x:tablePart xmlns:r="http://schemas.openxmlformats.org/officeDocument/2006/relationships" r:id="R33e7121313cb4fd8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</x:cols>
  <x:sheetData>
    <x:row r="1" ht="31" customHeight="1">
      <x:c r="A1" s="34" t="str">
        <x:v>Leave-one-domain/factor-out stability</x:v>
      </x:c>
      <x:c r="B1" s="35"/>
      <x:c r="C1" s="35"/>
      <x:c r="D1" s="35"/>
    </x:row>
    <x:row r="2" ht="30" customHeight="1">
      <x:c r="A2" s="36" t="str">
        <x:v>Spearman agreement with the full 500 m local-priority ranking</x:v>
      </x:c>
      <x:c r="B2" s="35"/>
      <x:c r="C2" s="35"/>
      <x:c r="D2" s="35"/>
    </x:row>
    <x:row r="3">
      <x:c r="A3" s="35"/>
      <x:c r="B3" s="35"/>
      <x:c r="C3" s="35"/>
      <x:c r="D3" s="35"/>
    </x:row>
    <x:row r="4" ht="33" customHeight="1">
      <x:c r="A4" s="43" t="str">
        <x:v>ablation</x:v>
      </x:c>
      <x:c r="B4" s="43" t="str">
        <x:v>spearman_rho_with_full</x:v>
      </x:c>
      <x:c r="C4" s="43" t="str">
        <x:v>top5_overlap_with_full</x:v>
      </x:c>
      <x:c r="D4" s="43" t="str">
        <x:v>rank_1_component</x:v>
      </x:c>
    </x:row>
    <x:row r="5" ht="15" hidden="0" customHeight="1">
      <x:c r="A5" s="44" t="str">
        <x:v>Full local (landscape + terrain)</x:v>
      </x:c>
      <x:c r="B5" s="45" t="n">
        <x:v>1</x:v>
      </x:c>
      <x:c r="C5" s="44" t="n">
        <x:v>5</x:v>
      </x:c>
      <x:c r="D5" s="44" t="str">
        <x:v>Giri complex of monuments</x:v>
      </x:c>
    </x:row>
    <x:row r="6" ht="15" hidden="0" customHeight="1">
      <x:c r="A6" s="44" t="str">
        <x:v>Landscape only</x:v>
      </x:c>
      <x:c r="B6" s="45" t="n">
        <x:v>0.31617647058823534</x:v>
      </x:c>
      <x:c r="C6" s="44" t="n">
        <x:v>1</x:v>
      </x:c>
      <x:c r="D6" s="44" t="str">
        <x:v>Sirkap (fortified city)</x:v>
      </x:c>
    </x:row>
    <x:row r="7" ht="15" hidden="0" customHeight="1">
      <x:c r="A7" s="44" t="str">
        <x:v>Terrain only</x:v>
      </x:c>
      <x:c r="B7" s="45" t="n">
        <x:v>0.8186274509803922</x:v>
      </x:c>
      <x:c r="C7" s="44" t="n">
        <x:v>4</x:v>
      </x:c>
      <x:c r="D7" s="44" t="str">
        <x:v>Buddhist remains around Bhallar stupa</x:v>
      </x:c>
    </x:row>
    <x:row r="8" ht="15" hidden="0" customHeight="1">
      <x:c r="A8" s="44" t="str">
        <x:v>No NDVI</x:v>
      </x:c>
      <x:c r="B8" s="45" t="n">
        <x:v>0.9877450980392157</x:v>
      </x:c>
      <x:c r="C8" s="44" t="n">
        <x:v>5</x:v>
      </x:c>
      <x:c r="D8" s="44" t="str">
        <x:v>Giri complex of monuments</x:v>
      </x:c>
    </x:row>
    <x:row r="9" ht="15" hidden="0" customHeight="1">
      <x:c r="A9" s="44" t="str">
        <x:v>No MNDWI</x:v>
      </x:c>
      <x:c r="B9" s="45" t="n">
        <x:v>-0.27450980392156865</x:v>
      </x:c>
      <x:c r="C9" s="44" t="n">
        <x:v>0</x:v>
      </x:c>
      <x:c r="D9" s="44" t="str">
        <x:v>Buddhist remains around Bhallar stupa</x:v>
      </x:c>
    </x:row>
    <x:row r="10" ht="15" hidden="0" customHeight="1">
      <x:c r="A10" s="44" t="str">
        <x:v>No NDBI</x:v>
      </x:c>
      <x:c r="B10" s="45" t="n">
        <x:v>0.9901960784313727</x:v>
      </x:c>
      <x:c r="C10" s="44" t="n">
        <x:v>4</x:v>
      </x:c>
      <x:c r="D10" s="44" t="str">
        <x:v>Giri complex of monuments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941a2f79ccc94dd0"/>
  <x:tableParts count="1">
    <x:tablePart xmlns:r="http://schemas.openxmlformats.org/officeDocument/2006/relationships" r:id="R7ae70d71e4a0447b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</x:cols>
  <x:sheetData>
    <x:row r="1" ht="31" customHeight="1">
      <x:c r="A1" s="34" t="str">
        <x:v>Integrated rank agreement across spatial supports</x:v>
      </x:c>
      <x:c r="B1" s="35"/>
      <x:c r="C1" s="35"/>
    </x:row>
    <x:row r="2" ht="30" customHeight="1">
      <x:c r="A2" s="36" t="str">
        <x:v>Pairwise Spearman correlations for 250, 500 and 1,000 m component rankings</x:v>
      </x:c>
      <x:c r="B2" s="35"/>
      <x:c r="C2" s="35"/>
    </x:row>
    <x:row r="3">
      <x:c r="A3" s="35"/>
      <x:c r="B3" s="35"/>
      <x:c r="C3" s="35"/>
    </x:row>
    <x:row r="4" ht="33" customHeight="1">
      <x:c r="A4" s="43" t="str">
        <x:v>radius_a_m</x:v>
      </x:c>
      <x:c r="B4" s="43" t="str">
        <x:v>radius_b_m</x:v>
      </x:c>
      <x:c r="C4" s="43" t="str">
        <x:v>spearman_rank_correlation</x:v>
      </x:c>
    </x:row>
    <x:row r="5" ht="15" hidden="0" customHeight="1">
      <x:c r="A5" s="44" t="n">
        <x:v>250</x:v>
      </x:c>
      <x:c r="B5" s="44" t="n">
        <x:v>250</x:v>
      </x:c>
      <x:c r="C5" s="45" t="n">
        <x:v>1</x:v>
      </x:c>
    </x:row>
    <x:row r="6" ht="15" hidden="0" customHeight="1">
      <x:c r="A6" s="44" t="n">
        <x:v>250</x:v>
      </x:c>
      <x:c r="B6" s="44" t="n">
        <x:v>500</x:v>
      </x:c>
      <x:c r="C6" s="45" t="n">
        <x:v>0.8014705882352942</x:v>
      </x:c>
    </x:row>
    <x:row r="7" ht="15" hidden="0" customHeight="1">
      <x:c r="A7" s="44" t="n">
        <x:v>250</x:v>
      </x:c>
      <x:c r="B7" s="44" t="n">
        <x:v>1000</x:v>
      </x:c>
      <x:c r="C7" s="45" t="n">
        <x:v>0.7107843137254903</x:v>
      </x:c>
    </x:row>
    <x:row r="8" ht="15" hidden="0" customHeight="1">
      <x:c r="A8" s="44" t="n">
        <x:v>500</x:v>
      </x:c>
      <x:c r="B8" s="44" t="n">
        <x:v>250</x:v>
      </x:c>
      <x:c r="C8" s="45" t="n">
        <x:v>0.8014705882352942</x:v>
      </x:c>
    </x:row>
    <x:row r="9" ht="15" hidden="0" customHeight="1">
      <x:c r="A9" s="44" t="n">
        <x:v>500</x:v>
      </x:c>
      <x:c r="B9" s="44" t="n">
        <x:v>500</x:v>
      </x:c>
      <x:c r="C9" s="45" t="n">
        <x:v>1</x:v>
      </x:c>
    </x:row>
    <x:row r="10" ht="15" hidden="0" customHeight="1">
      <x:c r="A10" s="44" t="n">
        <x:v>500</x:v>
      </x:c>
      <x:c r="B10" s="44" t="n">
        <x:v>1000</x:v>
      </x:c>
      <x:c r="C10" s="45" t="n">
        <x:v>0.9240196078431374</x:v>
      </x:c>
    </x:row>
    <x:row r="11" ht="15" hidden="0" customHeight="1">
      <x:c r="A11" s="44" t="n">
        <x:v>1000</x:v>
      </x:c>
      <x:c r="B11" s="44" t="n">
        <x:v>250</x:v>
      </x:c>
      <x:c r="C11" s="45" t="n">
        <x:v>0.7107843137254903</x:v>
      </x:c>
    </x:row>
    <x:row r="12" ht="15" hidden="0" customHeight="1">
      <x:c r="A12" s="44" t="n">
        <x:v>1000</x:v>
      </x:c>
      <x:c r="B12" s="44" t="n">
        <x:v>500</x:v>
      </x:c>
      <x:c r="C12" s="45" t="n">
        <x:v>0.9240196078431374</x:v>
      </x:c>
    </x:row>
    <x:row r="13" ht="15" hidden="0" customHeight="1">
      <x:c r="A13" s="44" t="n">
        <x:v>1000</x:v>
      </x:c>
      <x:c r="B13" s="44" t="n">
        <x:v>1000</x:v>
      </x:c>
      <x:c r="C13" s="45" t="n">
        <x:v>1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91f632bf1fb4ae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</x:cols>
  <x:sheetData>
    <x:row r="1" ht="31" customHeight="1">
      <x:c r="A1" s="34" t="str">
        <x:v>Component terrain and hydrological susceptibility</x:v>
      </x:c>
      <x:c r="B1" s="35"/>
      <x:c r="C1" s="35"/>
      <x:c r="D1" s="35"/>
      <x:c r="E1" s="35"/>
      <x:c r="F1" s="35"/>
      <x:c r="G1" s="35"/>
      <x:c r="H1" s="35"/>
      <x:c r="I1" s="35"/>
      <x:c r="J1" s="35"/>
      <x:c r="K1" s="35"/>
      <x:c r="L1" s="35"/>
      <x:c r="M1" s="35"/>
      <x:c r="N1" s="35"/>
    </x:row>
    <x:row r="2" ht="30" customHeight="1">
      <x:c r="A2" s="36" t="str">
        <x:v>Static elevation, slope, roughness, topographic wetness and drainage-proximity summaries</x:v>
      </x:c>
      <x:c r="B2" s="35"/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5"/>
      <x:c r="N2" s="35"/>
    </x:row>
    <x:row r="3">
      <x:c r="A3" s="35"/>
      <x:c r="B3" s="35"/>
      <x:c r="C3" s="35"/>
      <x:c r="D3" s="35"/>
      <x:c r="E3" s="35"/>
      <x:c r="F3" s="35"/>
      <x:c r="G3" s="35"/>
      <x:c r="H3" s="35"/>
      <x:c r="I3" s="35"/>
      <x:c r="J3" s="35"/>
      <x:c r="K3" s="35"/>
      <x:c r="L3" s="35"/>
      <x:c r="M3" s="35"/>
      <x:c r="N3" s="35"/>
    </x:row>
    <x:row r="4" ht="33" customHeight="1">
      <x:c r="A4" s="43" t="str">
        <x:v>component_id</x:v>
      </x:c>
      <x:c r="B4" s="43" t="str">
        <x:v>component_name</x:v>
      </x:c>
      <x:c r="C4" s="43" t="str">
        <x:v>radius_m</x:v>
      </x:c>
      <x:c r="D4" s="43" t="str">
        <x:v>terrain_cells</x:v>
      </x:c>
      <x:c r="E4" s="43" t="str">
        <x:v>elevation_median_m</x:v>
      </x:c>
      <x:c r="F4" s="43" t="str">
        <x:v>elevation_p10_m</x:v>
      </x:c>
      <x:c r="G4" s="43" t="str">
        <x:v>elevation_p90_m</x:v>
      </x:c>
      <x:c r="H4" s="43" t="str">
        <x:v>slope_median_deg</x:v>
      </x:c>
      <x:c r="I4" s="43" t="str">
        <x:v>slope_p90_deg</x:v>
      </x:c>
      <x:c r="J4" s="43" t="str">
        <x:v>tri_median_m</x:v>
      </x:c>
      <x:c r="K4" s="43" t="str">
        <x:v>tpi500_median_m</x:v>
      </x:c>
      <x:c r="L4" s="43" t="str">
        <x:v>flow_accumulation_p90_cells</x:v>
      </x:c>
      <x:c r="M4" s="43" t="str">
        <x:v>twi_proxy_p90</x:v>
      </x:c>
      <x:c r="N4" s="43" t="str">
        <x:v>drainage_distance_median_m</x:v>
      </x:c>
    </x:row>
    <x:row r="5" ht="15" hidden="0" customHeight="1">
      <x:c r="A5" s="44" t="str">
        <x:v>139-001</x:v>
      </x:c>
      <x:c r="B5" s="44" t="str">
        <x:v>Khanpur Cave</x:v>
      </x:c>
      <x:c r="C5" s="44" t="n">
        <x:v>250</x:v>
      </x:c>
      <x:c r="D5" s="44" t="n">
        <x:v>247</x:v>
      </x:c>
      <x:c r="E5" s="45" t="n">
        <x:v>576</x:v>
      </x:c>
      <x:c r="F5" s="44" t="n">
        <x:v>561</x:v>
      </x:c>
      <x:c r="G5" s="44" t="n">
        <x:v>598</x:v>
      </x:c>
      <x:c r="H5" s="45" t="n">
        <x:v>8.923663139343262</x:v>
      </x:c>
      <x:c r="I5" s="45" t="n">
        <x:v>15.71999740600586</x:v>
      </x:c>
      <x:c r="J5" s="45" t="n">
        <x:v>3.7955565452575684</x:v>
      </x:c>
      <x:c r="K5" s="45" t="n">
        <x:v>5.63909912109375</x:v>
      </x:c>
      <x:c r="L5" s="45" t="n">
        <x:v>11</x:v>
      </x:c>
      <x:c r="M5" s="45" t="n">
        <x:v>8.13907241821289</x:v>
      </x:c>
      <x:c r="N5" s="45" t="n">
        <x:v>925.252685546875</x:v>
      </x:c>
    </x:row>
    <x:row r="6" ht="15" hidden="0" customHeight="1">
      <x:c r="A6" s="44" t="str">
        <x:v>139-001</x:v>
      </x:c>
      <x:c r="B6" s="44" t="str">
        <x:v>Khanpur Cave</x:v>
      </x:c>
      <x:c r="C6" s="44" t="n">
        <x:v>500</x:v>
      </x:c>
      <x:c r="D6" s="44" t="n">
        <x:v>987</x:v>
      </x:c>
      <x:c r="E6" s="45" t="n">
        <x:v>568</x:v>
      </x:c>
      <x:c r="F6" s="44" t="n">
        <x:v>557</x:v>
      </x:c>
      <x:c r="G6" s="44" t="n">
        <x:v>592</x:v>
      </x:c>
      <x:c r="H6" s="45" t="n">
        <x:v>6.906153202056885</x:v>
      </x:c>
      <x:c r="I6" s="45" t="n">
        <x:v>15.472119331359863</x:v>
      </x:c>
      <x:c r="J6" s="45" t="n">
        <x:v>3.13747501373291</x:v>
      </x:c>
      <x:c r="K6" s="45" t="n">
        <x:v>0.07257080078125</x:v>
      </x:c>
      <x:c r="L6" s="45" t="n">
        <x:v>10</x:v>
      </x:c>
      <x:c r="M6" s="45" t="n">
        <x:v>8.124760627746582</x:v>
      </x:c>
      <x:c r="N6" s="45" t="n">
        <x:v>827.7481689453125</x:v>
      </x:c>
    </x:row>
    <x:row r="7" ht="15" hidden="0" customHeight="1">
      <x:c r="A7" s="44" t="str">
        <x:v>139-001</x:v>
      </x:c>
      <x:c r="B7" s="44" t="str">
        <x:v>Khanpur Cave</x:v>
      </x:c>
      <x:c r="C7" s="44" t="n">
        <x:v>1000</x:v>
      </x:c>
      <x:c r="D7" s="44" t="n">
        <x:v>3967</x:v>
      </x:c>
      <x:c r="E7" s="45" t="n">
        <x:v>565</x:v>
      </x:c>
      <x:c r="F7" s="44" t="n">
        <x:v>541</x:v>
      </x:c>
      <x:c r="G7" s="44" t="n">
        <x:v>587</x:v>
      </x:c>
      <x:c r="H7" s="45" t="n">
        <x:v>4.817547798156738</x:v>
      </x:c>
      <x:c r="I7" s="45" t="n">
        <x:v>13.481366157531738</x:v>
      </x:c>
      <x:c r="J7" s="45" t="n">
        <x:v>2.1139419078826904</x:v>
      </x:c>
      <x:c r="K7" s="45" t="n">
        <x:v>-3.70062255859375</x:v>
      </x:c>
      <x:c r="L7" s="45" t="n">
        <x:v>9</x:v>
      </x:c>
      <x:c r="M7" s="45" t="n">
        <x:v>8.32283878326416</x:v>
      </x:c>
      <x:c r="N7" s="45" t="n">
        <x:v>602.5613403320312</x:v>
      </x:c>
    </x:row>
    <x:row r="8" ht="15" hidden="0" customHeight="1">
      <x:c r="A8" s="44" t="str">
        <x:v>139-003</x:v>
      </x:c>
      <x:c r="B8" s="44" t="str">
        <x:v>Bhir Mound</x:v>
      </x:c>
      <x:c r="C8" s="44" t="n">
        <x:v>250</x:v>
      </x:c>
      <x:c r="D8" s="44" t="n">
        <x:v>248</x:v>
      </x:c>
      <x:c r="E8" s="45" t="n">
        <x:v>516</x:v>
      </x:c>
      <x:c r="F8" s="44" t="n">
        <x:v>512</x:v>
      </x:c>
      <x:c r="G8" s="44" t="n">
        <x:v>521</x:v>
      </x:c>
      <x:c r="H8" s="45" t="n">
        <x:v>3.5618276596069336</x:v>
      </x:c>
      <x:c r="I8" s="45" t="n">
        <x:v>8.210464477539062</x:v>
      </x:c>
      <x:c r="J8" s="45" t="n">
        <x:v>1.576182246208191</x:v>
      </x:c>
      <x:c r="K8" s="45" t="n">
        <x:v>2</x:v>
      </x:c>
      <x:c r="L8" s="45" t="n">
        <x:v>5</x:v>
      </x:c>
      <x:c r="M8" s="45" t="n">
        <x:v>8.071321487426758</x:v>
      </x:c>
      <x:c r="N8" s="45" t="n">
        <x:v>1287.4775390625</x:v>
      </x:c>
    </x:row>
    <x:row r="9" ht="15" hidden="0" customHeight="1">
      <x:c r="A9" s="44" t="str">
        <x:v>139-003</x:v>
      </x:c>
      <x:c r="B9" s="44" t="str">
        <x:v>Bhir Mound</x:v>
      </x:c>
      <x:c r="C9" s="44" t="n">
        <x:v>500</x:v>
      </x:c>
      <x:c r="D9" s="44" t="n">
        <x:v>985</x:v>
      </x:c>
      <x:c r="E9" s="45" t="n">
        <x:v>515</x:v>
      </x:c>
      <x:c r="F9" s="44" t="n">
        <x:v>508</x:v>
      </x:c>
      <x:c r="G9" s="44" t="n">
        <x:v>521</x:v>
      </x:c>
      <x:c r="H9" s="45" t="n">
        <x:v>3.3397092819213867</x:v>
      </x:c>
      <x:c r="I9" s="45" t="n">
        <x:v>7.20517635345459</x:v>
      </x:c>
      <x:c r="J9" s="45" t="n">
        <x:v>1.4361406564712524</x:v>
      </x:c>
      <x:c r="K9" s="45" t="n">
        <x:v>0.72265625</x:v>
      </x:c>
      <x:c r="L9" s="45" t="n">
        <x:v>6</x:v>
      </x:c>
      <x:c r="M9" s="45" t="n">
        <x:v>8.472672462463379</x:v>
      </x:c>
      <x:c r="N9" s="45" t="n">
        <x:v>1312.3939208984375</x:v>
      </x:c>
    </x:row>
    <x:row r="10" ht="15" hidden="0" customHeight="1">
      <x:c r="A10" s="44" t="str">
        <x:v>139-003</x:v>
      </x:c>
      <x:c r="B10" s="44" t="str">
        <x:v>Bhir Mound</x:v>
      </x:c>
      <x:c r="C10" s="44" t="n">
        <x:v>1000</x:v>
      </x:c>
      <x:c r="D10" s="44" t="n">
        <x:v>3962</x:v>
      </x:c>
      <x:c r="E10" s="45" t="n">
        <x:v>514</x:v>
      </x:c>
      <x:c r="F10" s="44" t="n">
        <x:v>506</x:v>
      </x:c>
      <x:c r="G10" s="44" t="n">
        <x:v>521</x:v>
      </x:c>
      <x:c r="H10" s="45" t="n">
        <x:v>3.4656643867492676</x:v>
      </x:c>
      <x:c r="I10" s="45" t="n">
        <x:v>7.212281227111816</x:v>
      </x:c>
      <x:c r="J10" s="45" t="n">
        <x:v>1.427954912185669</x:v>
      </x:c>
      <x:c r="K10" s="45" t="n">
        <x:v>-0.208892822265625</x:v>
      </x:c>
      <x:c r="L10" s="45" t="n">
        <x:v>7</x:v>
      </x:c>
      <x:c r="M10" s="45" t="n">
        <x:v>8.453900337219238</x:v>
      </x:c>
      <x:c r="N10" s="45" t="n">
        <x:v>1324.374755859375</x:v>
      </x:c>
    </x:row>
    <x:row r="11" ht="15" hidden="0" customHeight="1">
      <x:c r="A11" s="44" t="str">
        <x:v>139-004</x:v>
      </x:c>
      <x:c r="B11" s="44" t="str">
        <x:v>Sirkap (fortified city)</x:v>
      </x:c>
      <x:c r="C11" s="44" t="n">
        <x:v>250</x:v>
      </x:c>
      <x:c r="D11" s="44" t="n">
        <x:v>247</x:v>
      </x:c>
      <x:c r="E11" s="45" t="n">
        <x:v>512</x:v>
      </x:c>
      <x:c r="F11" s="44" t="n">
        <x:v>509</x:v>
      </x:c>
      <x:c r="G11" s="44" t="n">
        <x:v>515</x:v>
      </x:c>
      <x:c r="H11" s="45" t="n">
        <x:v>2.996107578277588</x:v>
      </x:c>
      <x:c r="I11" s="45" t="n">
        <x:v>6.562185287475586</x:v>
      </x:c>
      <x:c r="J11" s="45" t="n">
        <x:v>1.346291184425354</x:v>
      </x:c>
      <x:c r="K11" s="45" t="n">
        <x:v>-2.26171875</x:v>
      </x:c>
      <x:c r="L11" s="45" t="n">
        <x:v>5</x:v>
      </x:c>
      <x:c r="M11" s="45" t="n">
        <x:v>8.125020980834961</x:v>
      </x:c>
      <x:c r="N11" s="45" t="n">
        <x:v>1244.29638671875</x:v>
      </x:c>
    </x:row>
    <x:row r="12" ht="15" hidden="0" customHeight="1">
      <x:c r="A12" s="44" t="str">
        <x:v>139-004</x:v>
      </x:c>
      <x:c r="B12" s="44" t="str">
        <x:v>Sirkap (fortified city)</x:v>
      </x:c>
      <x:c r="C12" s="44" t="n">
        <x:v>500</x:v>
      </x:c>
      <x:c r="D12" s="44" t="n">
        <x:v>983</x:v>
      </x:c>
      <x:c r="E12" s="45" t="n">
        <x:v>512</x:v>
      </x:c>
      <x:c r="F12" s="44" t="n">
        <x:v>507</x:v>
      </x:c>
      <x:c r="G12" s="44" t="n">
        <x:v>525.7999877929688</x:v>
      </x:c>
      <x:c r="H12" s="45" t="n">
        <x:v>3.5618276596069336</x:v>
      </x:c>
      <x:c r="I12" s="45" t="n">
        <x:v>8.845051765441895</x:v>
      </x:c>
      <x:c r="J12" s="45" t="n">
        <x:v>1.5051993131637573</x:v>
      </x:c>
      <x:c r="K12" s="45" t="n">
        <x:v>-1.319549560546875</x:v>
      </x:c>
      <x:c r="L12" s="45" t="n">
        <x:v>7</x:v>
      </x:c>
      <x:c r="M12" s="45" t="n">
        <x:v>8.335844039916992</x:v>
      </x:c>
      <x:c r="N12" s="45" t="n">
        <x:v>1173.341552734375</x:v>
      </x:c>
    </x:row>
    <x:row r="13" ht="15" hidden="0" customHeight="1">
      <x:c r="A13" s="44" t="str">
        <x:v>139-004</x:v>
      </x:c>
      <x:c r="B13" s="44" t="str">
        <x:v>Sirkap (fortified city)</x:v>
      </x:c>
      <x:c r="C13" s="44" t="n">
        <x:v>1000</x:v>
      </x:c>
      <x:c r="D13" s="44" t="n">
        <x:v>3963</x:v>
      </x:c>
      <x:c r="E13" s="45" t="n">
        <x:v>511</x:v>
      </x:c>
      <x:c r="F13" s="44" t="n">
        <x:v>501</x:v>
      </x:c>
      <x:c r="G13" s="44" t="n">
        <x:v>541</x:v>
      </x:c>
      <x:c r="H13" s="45" t="n">
        <x:v>3.869870662689209</x:v>
      </x:c>
      <x:c r="I13" s="45" t="n">
        <x:v>13.058137893676758</x:v>
      </x:c>
      <x:c r="J13" s="45" t="n">
        <x:v>1.6677080392837524</x:v>
      </x:c>
      <x:c r="K13" s="45" t="n">
        <x:v>-1.05694580078125</x:v>
      </x:c>
      <x:c r="L13" s="45" t="n">
        <x:v>8</x:v>
      </x:c>
      <x:c r="M13" s="45" t="n">
        <x:v>8.35702133178711</x:v>
      </x:c>
      <x:c r="N13" s="45" t="n">
        <x:v>996.8583374023438</x:v>
      </x:c>
    </x:row>
    <x:row r="14" ht="15" hidden="0" customHeight="1">
      <x:c r="A14" s="44" t="str">
        <x:v>139-005</x:v>
      </x:c>
      <x:c r="B14" s="44" t="str">
        <x:v>Sirsukh (fortified ruined city)</x:v>
      </x:c>
      <x:c r="C14" s="44" t="n">
        <x:v>250</x:v>
      </x:c>
      <x:c r="D14" s="44" t="n">
        <x:v>247</x:v>
      </x:c>
      <x:c r="E14" s="45" t="n">
        <x:v>508</x:v>
      </x:c>
      <x:c r="F14" s="44" t="n">
        <x:v>505.6000061035156</x:v>
      </x:c>
      <x:c r="G14" s="44" t="n">
        <x:v>510</x:v>
      </x:c>
      <x:c r="H14" s="45" t="n">
        <x:v>2.413038730621338</x:v>
      </x:c>
      <x:c r="I14" s="45" t="n">
        <x:v>4.544013023376465</x:v>
      </x:c>
      <x:c r="J14" s="45" t="n">
        <x:v>1.0532686710357666</x:v>
      </x:c>
      <x:c r="K14" s="45" t="n">
        <x:v>-1.499542236328125</x:v>
      </x:c>
      <x:c r="L14" s="45" t="n">
        <x:v>6</x:v>
      </x:c>
      <x:c r="M14" s="45" t="n">
        <x:v>8.55288028717041</x:v>
      </x:c>
      <x:c r="N14" s="45" t="n">
        <x:v>1118.1605224609375</x:v>
      </x:c>
    </x:row>
    <x:row r="15" ht="15" hidden="0" customHeight="1">
      <x:c r="A15" s="44" t="str">
        <x:v>139-005</x:v>
      </x:c>
      <x:c r="B15" s="44" t="str">
        <x:v>Sirsukh (fortified ruined city)</x:v>
      </x:c>
      <x:c r="C15" s="44" t="n">
        <x:v>500</x:v>
      </x:c>
      <x:c r="D15" s="44" t="n">
        <x:v>993</x:v>
      </x:c>
      <x:c r="E15" s="45" t="n">
        <x:v>509</x:v>
      </x:c>
      <x:c r="F15" s="44" t="n">
        <x:v>505</x:v>
      </x:c>
      <x:c r="G15" s="44" t="n">
        <x:v>513</x:v>
      </x:c>
      <x:c r="H15" s="45" t="n">
        <x:v>2.413038730621338</x:v>
      </x:c>
      <x:c r="I15" s="45" t="n">
        <x:v>4.544013023376465</x:v>
      </x:c>
      <x:c r="J15" s="45" t="n">
        <x:v>1.0532686710357666</x:v>
      </x:c>
      <x:c r="K15" s="45" t="n">
        <x:v>-0.7401123046875</x:v>
      </x:c>
      <x:c r="L15" s="45" t="n">
        <x:v>6</x:v>
      </x:c>
      <x:c r="M15" s="45" t="n">
        <x:v>8.55288028717041</x:v>
      </x:c>
      <x:c r="N15" s="45" t="n">
        <x:v>1142.479248046875</x:v>
      </x:c>
    </x:row>
    <x:row r="16" ht="15" hidden="0" customHeight="1">
      <x:c r="A16" s="44" t="str">
        <x:v>139-005</x:v>
      </x:c>
      <x:c r="B16" s="44" t="str">
        <x:v>Sirsukh (fortified ruined city)</x:v>
      </x:c>
      <x:c r="C16" s="44" t="n">
        <x:v>1000</x:v>
      </x:c>
      <x:c r="D16" s="44" t="n">
        <x:v>3956</x:v>
      </x:c>
      <x:c r="E16" s="45" t="n">
        <x:v>511</x:v>
      </x:c>
      <x:c r="F16" s="44" t="n">
        <x:v>504</x:v>
      </x:c>
      <x:c r="G16" s="44" t="n">
        <x:v>518</x:v>
      </x:c>
      <x:c r="H16" s="45" t="n">
        <x:v>2.413038730621338</x:v>
      </x:c>
      <x:c r="I16" s="45" t="n">
        <x:v>4.7610650062561035</x:v>
      </x:c>
      <x:c r="J16" s="45" t="n">
        <x:v>1.0606601238250732</x:v>
      </x:c>
      <x:c r="K16" s="45" t="n">
        <x:v>-0.89532470703125</x:v>
      </x:c>
      <x:c r="L16" s="45" t="n">
        <x:v>6</x:v>
      </x:c>
      <x:c r="M16" s="45" t="n">
        <x:v>8.55288028717041</x:v>
      </x:c>
      <x:c r="N16" s="45" t="n">
        <x:v>1244.232177734375</x:v>
      </x:c>
    </x:row>
    <x:row r="17" ht="15" hidden="0" customHeight="1">
      <x:c r="A17" s="44" t="str">
        <x:v>139-006</x:v>
      </x:c>
      <x:c r="B17" s="44" t="str">
        <x:v>Dharmarajika stupa and monastery</x:v>
      </x:c>
      <x:c r="C17" s="44" t="n">
        <x:v>250</x:v>
      </x:c>
      <x:c r="D17" s="44" t="n">
        <x:v>247</x:v>
      </x:c>
      <x:c r="E17" s="45" t="n">
        <x:v>530</x:v>
      </x:c>
      <x:c r="F17" s="44" t="n">
        <x:v>523.5999755859375</x:v>
      </x:c>
      <x:c r="G17" s="44" t="n">
        <x:v>536</x:v>
      </x:c>
      <x:c r="H17" s="45" t="n">
        <x:v>3.818449020385742</x:v>
      </x:c>
      <x:c r="I17" s="45" t="n">
        <x:v>7.9311394691467285</x:v>
      </x:c>
      <x:c r="J17" s="45" t="n">
        <x:v>1.7589058876037598</x:v>
      </x:c>
      <x:c r="K17" s="45" t="n">
        <x:v>-5.09088134765625</x:v>
      </x:c>
      <x:c r="L17" s="45" t="n">
        <x:v>8</x:v>
      </x:c>
      <x:c r="M17" s="45" t="n">
        <x:v>8.488116264343262</x:v>
      </x:c>
      <x:c r="N17" s="45" t="n">
        <x:v>704.9265747070312</x:v>
      </x:c>
    </x:row>
    <x:row r="18" ht="15" hidden="0" customHeight="1">
      <x:c r="A18" s="44" t="str">
        <x:v>139-006</x:v>
      </x:c>
      <x:c r="B18" s="44" t="str">
        <x:v>Dharmarajika stupa and monastery</x:v>
      </x:c>
      <x:c r="C18" s="44" t="n">
        <x:v>500</x:v>
      </x:c>
      <x:c r="D18" s="44" t="n">
        <x:v>986</x:v>
      </x:c>
      <x:c r="E18" s="45" t="n">
        <x:v>530</x:v>
      </x:c>
      <x:c r="F18" s="44" t="n">
        <x:v>523</x:v>
      </x:c>
      <x:c r="G18" s="44" t="n">
        <x:v>546</x:v>
      </x:c>
      <x:c r="H18" s="45" t="n">
        <x:v>4.544013023376465</x:v>
      </x:c>
      <x:c r="I18" s="45" t="n">
        <x:v>9.382647514343262</x:v>
      </x:c>
      <x:c r="J18" s="45" t="n">
        <x:v>1.9882428646087646</x:v>
      </x:c>
      <x:c r="K18" s="45" t="n">
        <x:v>-4.434783935546875</x:v>
      </x:c>
      <x:c r="L18" s="45" t="n">
        <x:v>8</x:v>
      </x:c>
      <x:c r="M18" s="45" t="n">
        <x:v>8.375116348266602</x:v>
      </x:c>
      <x:c r="N18" s="45" t="n">
        <x:v>654.3739624023438</x:v>
      </x:c>
    </x:row>
    <x:row r="19" ht="15" hidden="0" customHeight="1">
      <x:c r="A19" s="44" t="str">
        <x:v>139-006</x:v>
      </x:c>
      <x:c r="B19" s="44" t="str">
        <x:v>Dharmarajika stupa and monastery</x:v>
      </x:c>
      <x:c r="C19" s="44" t="n">
        <x:v>1000</x:v>
      </x:c>
      <x:c r="D19" s="44" t="n">
        <x:v>3962</x:v>
      </x:c>
      <x:c r="E19" s="45" t="n">
        <x:v>534</x:v>
      </x:c>
      <x:c r="F19" s="44" t="n">
        <x:v>521</x:v>
      </x:c>
      <x:c r="G19" s="44" t="n">
        <x:v>568</x:v>
      </x:c>
      <x:c r="H19" s="45" t="n">
        <x:v>5.13391637802124</x:v>
      </x:c>
      <x:c r="I19" s="45" t="n">
        <x:v>13.823004722595215</x:v>
      </x:c>
      <x:c r="J19" s="45" t="n">
        <x:v>2.243044853210449</x:v>
      </x:c>
      <x:c r="K19" s="45" t="n">
        <x:v>-1.612030029296875</x:v>
      </x:c>
      <x:c r="L19" s="45" t="n">
        <x:v>9</x:v>
      </x:c>
      <x:c r="M19" s="45" t="n">
        <x:v>8.249528884887695</x:v>
      </x:c>
      <x:c r="N19" s="45" t="n">
        <x:v>581.44482421875</x:v>
      </x:c>
    </x:row>
    <x:row r="20" ht="15" hidden="0" customHeight="1">
      <x:c r="A20" s="44" t="str">
        <x:v>139-007</x:v>
      </x:c>
      <x:c r="B20" s="44" t="str">
        <x:v>Khader Mohra (Akhuri)</x:v>
      </x:c>
      <x:c r="C20" s="44" t="n">
        <x:v>250</x:v>
      </x:c>
      <x:c r="D20" s="44" t="n">
        <x:v>247</x:v>
      </x:c>
      <x:c r="E20" s="45" t="n">
        <x:v>582</x:v>
      </x:c>
      <x:c r="F20" s="44" t="n">
        <x:v>555.5999755859375</x:v>
      </x:c>
      <x:c r="G20" s="44" t="n">
        <x:v>626.4000244140625</x:v>
      </x:c>
      <x:c r="H20" s="45" t="n">
        <x:v>18.02637481689453</x:v>
      </x:c>
      <x:c r="I20" s="45" t="n">
        <x:v>29.197053909301758</x:v>
      </x:c>
      <x:c r="J20" s="45" t="n">
        <x:v>7.758060455322266</x:v>
      </x:c>
      <x:c r="K20" s="45" t="n">
        <x:v>-10.57574462890625</x:v>
      </x:c>
      <x:c r="L20" s="45" t="n">
        <x:v>15</x:v>
      </x:c>
      <x:c r="M20" s="45" t="n">
        <x:v>7.585278034210205</x:v>
      </x:c>
      <x:c r="N20" s="45" t="n">
        <x:v>132.178955078125</x:v>
      </x:c>
    </x:row>
    <x:row r="21" ht="15" hidden="0" customHeight="1">
      <x:c r="A21" s="44" t="str">
        <x:v>139-007</x:v>
      </x:c>
      <x:c r="B21" s="44" t="str">
        <x:v>Khader Mohra (Akhuri)</x:v>
      </x:c>
      <x:c r="C21" s="44" t="n">
        <x:v>500</x:v>
      </x:c>
      <x:c r="D21" s="44" t="n">
        <x:v>989</x:v>
      </x:c>
      <x:c r="E21" s="45" t="n">
        <x:v>593</x:v>
      </x:c>
      <x:c r="F21" s="44" t="n">
        <x:v>537</x:v>
      </x:c>
      <x:c r="G21" s="44" t="n">
        <x:v>655.199951171875</x:v>
      </x:c>
      <x:c r="H21" s="45" t="n">
        <x:v>14.547320365905762</x:v>
      </x:c>
      <x:c r="I21" s="45" t="n">
        <x:v>27.477876663208008</x:v>
      </x:c>
      <x:c r="J21" s="45" t="n">
        <x:v>6.327025413513184</x:v>
      </x:c>
      <x:c r="K21" s="45" t="n">
        <x:v>1.47564697265625</x:v>
      </x:c>
      <x:c r="L21" s="45" t="n">
        <x:v>11</x:v>
      </x:c>
      <x:c r="M21" s="45" t="n">
        <x:v>7.5563812255859375</x:v>
      </x:c>
      <x:c r="N21" s="45" t="n">
        <x:v>197.5694580078125</x:v>
      </x:c>
    </x:row>
    <x:row r="22" ht="15" hidden="0" customHeight="1">
      <x:c r="A22" s="44" t="str">
        <x:v>139-007</x:v>
      </x:c>
      <x:c r="B22" s="44" t="str">
        <x:v>Khader Mohra (Akhuri)</x:v>
      </x:c>
      <x:c r="C22" s="44" t="n">
        <x:v>1000</x:v>
      </x:c>
      <x:c r="D22" s="44" t="n">
        <x:v>3965</x:v>
      </x:c>
      <x:c r="E22" s="45" t="n">
        <x:v>578</x:v>
      </x:c>
      <x:c r="F22" s="44" t="n">
        <x:v>525</x:v>
      </x:c>
      <x:c r="G22" s="44" t="n">
        <x:v>647</x:v>
      </x:c>
      <x:c r="H22" s="45" t="n">
        <x:v>10.160966873168945</x:v>
      </x:c>
      <x:c r="I22" s="45" t="n">
        <x:v>23.861289978027344</x:v>
      </x:c>
      <x:c r="J22" s="45" t="n">
        <x:v>4.572335243225098</x:v>
      </x:c>
      <x:c r="K22" s="45" t="n">
        <x:v>-2.20111083984375</x:v>
      </x:c>
      <x:c r="L22" s="45" t="n">
        <x:v>11</x:v>
      </x:c>
      <x:c r="M22" s="45" t="n">
        <x:v>7.965349197387695</x:v>
      </x:c>
      <x:c r="N22" s="45" t="n">
        <x:v>252.25418090820312</x:v>
      </x:c>
    </x:row>
    <x:row r="23" ht="15" hidden="0" customHeight="1">
      <x:c r="A23" s="44" t="str">
        <x:v>139-008</x:v>
      </x:c>
      <x:c r="B23" s="44" t="str">
        <x:v>Kalawan group of buildings</x:v>
      </x:c>
      <x:c r="C23" s="44" t="n">
        <x:v>250</x:v>
      </x:c>
      <x:c r="D23" s="44" t="n">
        <x:v>248</x:v>
      </x:c>
      <x:c r="E23" s="45" t="n">
        <x:v>537</x:v>
      </x:c>
      <x:c r="F23" s="44" t="n">
        <x:v>526</x:v>
      </x:c>
      <x:c r="G23" s="44" t="n">
        <x:v>551</x:v>
      </x:c>
      <x:c r="H23" s="45" t="n">
        <x:v>6.515340805053711</x:v>
      </x:c>
      <x:c r="I23" s="45" t="n">
        <x:v>11.93970775604248</x:v>
      </x:c>
      <x:c r="J23" s="45" t="n">
        <x:v>2.7613401412963867</x:v>
      </x:c>
      <x:c r="K23" s="45" t="n">
        <x:v>0.420562744140625</x:v>
      </x:c>
      <x:c r="L23" s="45" t="n">
        <x:v>10</x:v>
      </x:c>
      <x:c r="M23" s="45" t="n">
        <x:v>7.994907855987549</x:v>
      </x:c>
      <x:c r="N23" s="45" t="n">
        <x:v>756.298095703125</x:v>
      </x:c>
    </x:row>
    <x:row r="24" ht="15" hidden="0" customHeight="1">
      <x:c r="A24" s="44" t="str">
        <x:v>139-008</x:v>
      </x:c>
      <x:c r="B24" s="44" t="str">
        <x:v>Kalawan group of buildings</x:v>
      </x:c>
      <x:c r="C24" s="44" t="n">
        <x:v>500</x:v>
      </x:c>
      <x:c r="D24" s="44" t="n">
        <x:v>990</x:v>
      </x:c>
      <x:c r="E24" s="45" t="n">
        <x:v>534</x:v>
      </x:c>
      <x:c r="F24" s="44" t="n">
        <x:v>522</x:v>
      </x:c>
      <x:c r="G24" s="44" t="n">
        <x:v>552</x:v>
      </x:c>
      <x:c r="H24" s="45" t="n">
        <x:v>5.700327396392822</x:v>
      </x:c>
      <x:c r="I24" s="45" t="n">
        <x:v>12.662046432495117</x:v>
      </x:c>
      <x:c r="J24" s="45" t="n">
        <x:v>2.506242275238037</x:v>
      </x:c>
      <x:c r="K24" s="45" t="n">
        <x:v>-3.665283203125</x:v>
      </x:c>
      <x:c r="L24" s="45" t="n">
        <x:v>9</x:v>
      </x:c>
      <x:c r="M24" s="45" t="n">
        <x:v>8.249528884887695</x:v>
      </x:c>
      <x:c r="N24" s="45" t="n">
        <x:v>702.2096557617188</x:v>
      </x:c>
    </x:row>
    <x:row r="25" ht="15" hidden="0" customHeight="1">
      <x:c r="A25" s="44" t="str">
        <x:v>139-008</x:v>
      </x:c>
      <x:c r="B25" s="44" t="str">
        <x:v>Kalawan group of buildings</x:v>
      </x:c>
      <x:c r="C25" s="44" t="n">
        <x:v>1000</x:v>
      </x:c>
      <x:c r="D25" s="44" t="n">
        <x:v>3953</x:v>
      </x:c>
      <x:c r="E25" s="45" t="n">
        <x:v>532</x:v>
      </x:c>
      <x:c r="F25" s="44" t="n">
        <x:v>518</x:v>
      </x:c>
      <x:c r="G25" s="44" t="n">
        <x:v>568</x:v>
      </x:c>
      <x:c r="H25" s="45" t="n">
        <x:v>5.660061359405518</x:v>
      </x:c>
      <x:c r="I25" s="45" t="n">
        <x:v>16.317108154296875</x:v>
      </x:c>
      <x:c r="J25" s="45" t="n">
        <x:v>2.4044229984283447</x:v>
      </x:c>
      <x:c r="K25" s="45" t="n">
        <x:v>-1.91827392578125</x:v>
      </x:c>
      <x:c r="L25" s="45" t="n">
        <x:v>9</x:v>
      </x:c>
      <x:c r="M25" s="45" t="n">
        <x:v>8.242171287536621</x:v>
      </x:c>
      <x:c r="N25" s="45" t="n">
        <x:v>606.4683227539062</x:v>
      </x:c>
    </x:row>
    <x:row r="26" ht="15" hidden="0" customHeight="1">
      <x:c r="A26" s="44" t="str">
        <x:v>139-009</x:v>
      </x:c>
      <x:c r="B26" s="44" t="str">
        <x:v>Giri complex of monuments</x:v>
      </x:c>
      <x:c r="C26" s="44" t="n">
        <x:v>250</x:v>
      </x:c>
      <x:c r="D26" s="44" t="n">
        <x:v>246</x:v>
      </x:c>
      <x:c r="E26" s="45" t="n">
        <x:v>620</x:v>
      </x:c>
      <x:c r="F26" s="44" t="n">
        <x:v>600</x:v>
      </x:c>
      <x:c r="G26" s="44" t="n">
        <x:v>631.5</x:v>
      </x:c>
      <x:c r="H26" s="45" t="n">
        <x:v>10.798384666442871</x:v>
      </x:c>
      <x:c r="I26" s="45" t="n">
        <x:v>19.74662208557129</x:v>
      </x:c>
      <x:c r="J26" s="45" t="n">
        <x:v>4.764772415161133</x:v>
      </x:c>
      <x:c r="K26" s="45" t="n">
        <x:v>-16.765838623046875</x:v>
      </x:c>
      <x:c r="L26" s="45" t="n">
        <x:v>12</x:v>
      </x:c>
      <x:c r="M26" s="45" t="n">
        <x:v>7.777000427246094</x:v>
      </x:c>
      <x:c r="N26" s="45" t="n">
        <x:v>201.61053466796875</x:v>
      </x:c>
    </x:row>
    <x:row r="27" ht="15" hidden="0" customHeight="1">
      <x:c r="A27" s="44" t="str">
        <x:v>139-009</x:v>
      </x:c>
      <x:c r="B27" s="44" t="str">
        <x:v>Giri complex of monuments</x:v>
      </x:c>
      <x:c r="C27" s="44" t="n">
        <x:v>500</x:v>
      </x:c>
      <x:c r="D27" s="44" t="n">
        <x:v>991</x:v>
      </x:c>
      <x:c r="E27" s="45" t="n">
        <x:v>626</x:v>
      </x:c>
      <x:c r="F27" s="44" t="n">
        <x:v>589</x:v>
      </x:c>
      <x:c r="G27" s="44" t="n">
        <x:v>677</x:v>
      </x:c>
      <x:c r="H27" s="45" t="n">
        <x:v>12.886445045471191</x:v>
      </x:c>
      <x:c r="I27" s="45" t="n">
        <x:v>26.534521102905273</x:v>
      </x:c>
      <x:c r="J27" s="45" t="n">
        <x:v>5.573374271392822</x:v>
      </x:c>
      <x:c r="K27" s="45" t="n">
        <x:v>-21.18365478515625</x:v>
      </x:c>
      <x:c r="L27" s="45" t="n">
        <x:v>19</x:v>
      </x:c>
      <x:c r="M27" s="45" t="n">
        <x:v>8.09338665008545</x:v>
      </x:c>
      <x:c r="N27" s="45" t="n">
        <x:v>138.3775177001953</x:v>
      </x:c>
    </x:row>
    <x:row r="28" ht="15" hidden="0" customHeight="1">
      <x:c r="A28" s="44" t="str">
        <x:v>139-009</x:v>
      </x:c>
      <x:c r="B28" s="44" t="str">
        <x:v>Giri complex of monuments</x:v>
      </x:c>
      <x:c r="C28" s="44" t="n">
        <x:v>1000</x:v>
      </x:c>
      <x:c r="D28" s="44" t="n">
        <x:v>3953</x:v>
      </x:c>
      <x:c r="E28" s="45" t="n">
        <x:v>648</x:v>
      </x:c>
      <x:c r="F28" s="44" t="n">
        <x:v>591</x:v>
      </x:c>
      <x:c r="G28" s="44" t="n">
        <x:v>813.7998046875</x:v>
      </x:c>
      <x:c r="H28" s="45" t="n">
        <x:v>16.271455764770508</x:v>
      </x:c>
      <x:c r="I28" s="45" t="n">
        <x:v>31.23151969909668</x:v>
      </x:c>
      <x:c r="J28" s="45" t="n">
        <x:v>7.004462718963623</x:v>
      </x:c>
      <x:c r="K28" s="45" t="n">
        <x:v>-7.4407958984375</x:v>
      </x:c>
      <x:c r="L28" s="45" t="n">
        <x:v>19</x:v>
      </x:c>
      <x:c r="M28" s="45" t="n">
        <x:v>7.863491535186768</x:v>
      </x:c>
      <x:c r="N28" s="45" t="n">
        <x:v>160.6830291748047</x:v>
      </x:c>
    </x:row>
    <x:row r="29" ht="15" hidden="0" customHeight="1">
      <x:c r="A29" s="44" t="str">
        <x:v>139-010</x:v>
      </x:c>
      <x:c r="B29" s="44" t="str">
        <x:v>Kunala stupa and monastery</x:v>
      </x:c>
      <x:c r="C29" s="44" t="n">
        <x:v>250</x:v>
      </x:c>
      <x:c r="D29" s="44" t="n">
        <x:v>247</x:v>
      </x:c>
      <x:c r="E29" s="45" t="n">
        <x:v>521</x:v>
      </x:c>
      <x:c r="F29" s="44" t="n">
        <x:v>513</x:v>
      </x:c>
      <x:c r="G29" s="44" t="n">
        <x:v>540</x:v>
      </x:c>
      <x:c r="H29" s="45" t="n">
        <x:v>5.555023670196533</x:v>
      </x:c>
      <x:c r="I29" s="45" t="n">
        <x:v>14.959747314453125</x:v>
      </x:c>
      <x:c r="J29" s="45" t="n">
        <x:v>2.616056203842163</x:v>
      </x:c>
      <x:c r="K29" s="45" t="n">
        <x:v>-4.11016845703125</x:v>
      </x:c>
      <x:c r="L29" s="45" t="n">
        <x:v>9</x:v>
      </x:c>
      <x:c r="M29" s="45" t="n">
        <x:v>8.262336730957031</x:v>
      </x:c>
      <x:c r="N29" s="45" t="n">
        <x:v>924.6383666992188</x:v>
      </x:c>
    </x:row>
    <x:row r="30" ht="15" hidden="0" customHeight="1">
      <x:c r="A30" s="44" t="str">
        <x:v>139-010</x:v>
      </x:c>
      <x:c r="B30" s="44" t="str">
        <x:v>Kunala stupa and monastery</x:v>
      </x:c>
      <x:c r="C30" s="44" t="n">
        <x:v>500</x:v>
      </x:c>
      <x:c r="D30" s="44" t="n">
        <x:v>994</x:v>
      </x:c>
      <x:c r="E30" s="45" t="n">
        <x:v>521</x:v>
      </x:c>
      <x:c r="F30" s="44" t="n">
        <x:v>511</x:v>
      </x:c>
      <x:c r="G30" s="44" t="n">
        <x:v>550</x:v>
      </x:c>
      <x:c r="H30" s="45" t="n">
        <x:v>5.660061359405518</x:v>
      </x:c>
      <x:c r="I30" s="45" t="n">
        <x:v>16.20577621459961</x:v>
      </x:c>
      <x:c r="J30" s="45" t="n">
        <x:v>2.3717081546783447</x:v>
      </x:c>
      <x:c r="K30" s="45" t="n">
        <x:v>-0.477508544921875</x:v>
      </x:c>
      <x:c r="L30" s="45" t="n">
        <x:v>8</x:v>
      </x:c>
      <x:c r="M30" s="45" t="n">
        <x:v>8.129668235778809</x:v>
      </x:c>
      <x:c r="N30" s="45" t="n">
        <x:v>955.0604248046875</x:v>
      </x:c>
    </x:row>
    <x:row r="31" ht="15" hidden="0" customHeight="1">
      <x:c r="A31" s="44" t="str">
        <x:v>139-010</x:v>
      </x:c>
      <x:c r="B31" s="44" t="str">
        <x:v>Kunala stupa and monastery</x:v>
      </x:c>
      <x:c r="C31" s="44" t="n">
        <x:v>1000</x:v>
      </x:c>
      <x:c r="D31" s="44" t="n">
        <x:v>3961</x:v>
      </x:c>
      <x:c r="E31" s="45" t="n">
        <x:v>516</x:v>
      </x:c>
      <x:c r="F31" s="44" t="n">
        <x:v>503</x:v>
      </x:c>
      <x:c r="G31" s="44" t="n">
        <x:v>548</x:v>
      </x:c>
      <x:c r="H31" s="45" t="n">
        <x:v>4.62998104095459</x:v>
      </x:c>
      <x:c r="I31" s="45" t="n">
        <x:v>14.024491310119629</x:v>
      </x:c>
      <x:c r="J31" s="45" t="n">
        <x:v>1.9843134880065918</x:v>
      </x:c>
      <x:c r="K31" s="45" t="n">
        <x:v>-2.26080322265625</x:v>
      </x:c>
      <x:c r="L31" s="45" t="n">
        <x:v>9</x:v>
      </x:c>
      <x:c r="M31" s="45" t="n">
        <x:v>8.310611724853516</x:v>
      </x:c>
      <x:c r="N31" s="45" t="n">
        <x:v>931.7901611328125</x:v>
      </x:c>
    </x:row>
    <x:row r="32" ht="15" hidden="0" customHeight="1">
      <x:c r="A32" s="44" t="str">
        <x:v>139-011</x:v>
      </x:c>
      <x:c r="B32" s="44" t="str">
        <x:v>Jandial complex</x:v>
      </x:c>
      <x:c r="C32" s="44" t="n">
        <x:v>250</x:v>
      </x:c>
      <x:c r="D32" s="44" t="n">
        <x:v>246</x:v>
      </x:c>
      <x:c r="E32" s="45" t="n">
        <x:v>499</x:v>
      </x:c>
      <x:c r="F32" s="44" t="n">
        <x:v>495</x:v>
      </x:c>
      <x:c r="G32" s="44" t="n">
        <x:v>503</x:v>
      </x:c>
      <x:c r="H32" s="45" t="n">
        <x:v>3.5618276596069336</x:v>
      </x:c>
      <x:c r="I32" s="45" t="n">
        <x:v>6.191836357116699</x:v>
      </x:c>
      <x:c r="J32" s="45" t="n">
        <x:v>1.5129449367523193</x:v>
      </x:c>
      <x:c r="K32" s="45" t="n">
        <x:v>0.1280975341796875</x:v>
      </x:c>
      <x:c r="L32" s="45" t="n">
        <x:v>7</x:v>
      </x:c>
      <x:c r="M32" s="45" t="n">
        <x:v>8.380955696105957</x:v>
      </x:c>
      <x:c r="N32" s="45" t="n">
        <x:v>712.4918212890625</x:v>
      </x:c>
    </x:row>
    <x:row r="33" ht="15" hidden="0" customHeight="1">
      <x:c r="A33" s="44" t="str">
        <x:v>139-011</x:v>
      </x:c>
      <x:c r="B33" s="44" t="str">
        <x:v>Jandial complex</x:v>
      </x:c>
      <x:c r="C33" s="44" t="n">
        <x:v>500</x:v>
      </x:c>
      <x:c r="D33" s="44" t="n">
        <x:v>995</x:v>
      </x:c>
      <x:c r="E33" s="45" t="n">
        <x:v>499</x:v>
      </x:c>
      <x:c r="F33" s="44" t="n">
        <x:v>494</x:v>
      </x:c>
      <x:c r="G33" s="44" t="n">
        <x:v>503</x:v>
      </x:c>
      <x:c r="H33" s="45" t="n">
        <x:v>2.996107578277588</x:v>
      </x:c>
      <x:c r="I33" s="45" t="n">
        <x:v>5.781433582305908</x:v>
      </x:c>
      <x:c r="J33" s="45" t="n">
        <x:v>1.334634780883789</x:v>
      </x:c>
      <x:c r="K33" s="45" t="n">
        <x:v>-0.026641845703125</x:v>
      </x:c>
      <x:c r="L33" s="45" t="n">
        <x:v>7</x:v>
      </x:c>
      <x:c r="M33" s="45" t="n">
        <x:v>8.400824546813965</x:v>
      </x:c>
      <x:c r="N33" s="45" t="n">
        <x:v>753.234130859375</x:v>
      </x:c>
    </x:row>
    <x:row r="34" ht="15" hidden="0" customHeight="1">
      <x:c r="A34" s="44" t="str">
        <x:v>139-011</x:v>
      </x:c>
      <x:c r="B34" s="44" t="str">
        <x:v>Jandial complex</x:v>
      </x:c>
      <x:c r="C34" s="44" t="n">
        <x:v>1000</x:v>
      </x:c>
      <x:c r="D34" s="44" t="n">
        <x:v>3960</x:v>
      </x:c>
      <x:c r="E34" s="45" t="n">
        <x:v>499</x:v>
      </x:c>
      <x:c r="F34" s="44" t="n">
        <x:v>494</x:v>
      </x:c>
      <x:c r="G34" s="44" t="n">
        <x:v>506</x:v>
      </x:c>
      <x:c r="H34" s="45" t="n">
        <x:v>2.8980939388275146</x:v>
      </x:c>
      <x:c r="I34" s="45" t="n">
        <x:v>5.700327396392822</x:v>
      </x:c>
      <x:c r="J34" s="45" t="n">
        <x:v>1.2624380588531494</x:v>
      </x:c>
      <x:c r="K34" s="45" t="n">
        <x:v>-0.388885498046875</x:v>
      </x:c>
      <x:c r="L34" s="45" t="n">
        <x:v>6</x:v>
      </x:c>
      <x:c r="M34" s="45" t="n">
        <x:v>8.489270210266113</x:v>
      </x:c>
      <x:c r="N34" s="45" t="n">
        <x:v>913.7823486328125</x:v>
      </x:c>
    </x:row>
    <x:row r="35" ht="15" hidden="0" customHeight="1">
      <x:c r="A35" s="44" t="str">
        <x:v>139-012</x:v>
      </x:c>
      <x:c r="B35" s="44" t="str">
        <x:v>Lalchak and Badalpur Buddhist stuppa</x:v>
      </x:c>
      <x:c r="C35" s="44" t="n">
        <x:v>250</x:v>
      </x:c>
      <x:c r="D35" s="44" t="n">
        <x:v>245</x:v>
      </x:c>
      <x:c r="E35" s="45" t="n">
        <x:v>526</x:v>
      </x:c>
      <x:c r="F35" s="44" t="n">
        <x:v>523</x:v>
      </x:c>
      <x:c r="G35" s="44" t="n">
        <x:v>529</x:v>
      </x:c>
      <x:c r="H35" s="45" t="n">
        <x:v>2.163911819458008</x:v>
      </x:c>
      <x:c r="I35" s="45" t="n">
        <x:v>3.818449020385742</x:v>
      </x:c>
      <x:c r="J35" s="45" t="n">
        <x:v>0.9519716501235962</x:v>
      </x:c>
      <x:c r="K35" s="45" t="n">
        <x:v>0.36822509765625</x:v>
      </x:c>
      <x:c r="L35" s="45" t="n">
        <x:v>5</x:v>
      </x:c>
      <x:c r="M35" s="45" t="n">
        <x:v>8.473177909851074</x:v>
      </x:c>
      <x:c r="N35" s="45" t="n">
        <x:v>1354.2059326171875</x:v>
      </x:c>
    </x:row>
    <x:row r="36" ht="15" hidden="0" customHeight="1">
      <x:c r="A36" s="44" t="str">
        <x:v>139-012</x:v>
      </x:c>
      <x:c r="B36" s="44" t="str">
        <x:v>Lalchak and Badalpur Buddhist stuppa</x:v>
      </x:c>
      <x:c r="C36" s="44" t="n">
        <x:v>500</x:v>
      </x:c>
      <x:c r="D36" s="44" t="n">
        <x:v>986</x:v>
      </x:c>
      <x:c r="E36" s="45" t="n">
        <x:v>526</x:v>
      </x:c>
      <x:c r="F36" s="44" t="n">
        <x:v>522</x:v>
      </x:c>
      <x:c r="G36" s="44" t="n">
        <x:v>529</x:v>
      </x:c>
      <x:c r="H36" s="45" t="n">
        <x:v>2.227874279022217</x:v>
      </x:c>
      <x:c r="I36" s="45" t="n">
        <x:v>4.342517852783203</x:v>
      </x:c>
      <x:c r="J36" s="45" t="n">
        <x:v>1.0307763814926147</x:v>
      </x:c>
      <x:c r="K36" s="45" t="n">
        <x:v>0.245635986328125</x:v>
      </x:c>
      <x:c r="L36" s="45" t="n">
        <x:v>5</x:v>
      </x:c>
      <x:c r="M36" s="45" t="n">
        <x:v>8.47309398651123</x:v>
      </x:c>
      <x:c r="N36" s="45" t="n">
        <x:v>1344.4566650390625</x:v>
      </x:c>
    </x:row>
    <x:row r="37" ht="15" hidden="0" customHeight="1">
      <x:c r="A37" s="44" t="str">
        <x:v>139-012</x:v>
      </x:c>
      <x:c r="B37" s="44" t="str">
        <x:v>Lalchak and Badalpur Buddhist stuppa</x:v>
      </x:c>
      <x:c r="C37" s="44" t="n">
        <x:v>1000</x:v>
      </x:c>
      <x:c r="D37" s="44" t="n">
        <x:v>3950</x:v>
      </x:c>
      <x:c r="E37" s="45" t="n">
        <x:v>524</x:v>
      </x:c>
      <x:c r="F37" s="44" t="n">
        <x:v>518</x:v>
      </x:c>
      <x:c r="G37" s="44" t="n">
        <x:v>532</x:v>
      </x:c>
      <x:c r="H37" s="45" t="n">
        <x:v>2.413038730621338</x:v>
      </x:c>
      <x:c r="I37" s="45" t="n">
        <x:v>4.7610650062561035</x:v>
      </x:c>
      <x:c r="J37" s="45" t="n">
        <x:v>1.0752906799316406</x:v>
      </x:c>
      <x:c r="K37" s="45" t="n">
        <x:v>-0.0863037109375</x:v>
      </x:c>
      <x:c r="L37" s="45" t="n">
        <x:v>6</x:v>
      </x:c>
      <x:c r="M37" s="45" t="n">
        <x:v>8.55288028717041</x:v>
      </x:c>
      <x:c r="N37" s="45" t="n">
        <x:v>1317.098876953125</x:v>
      </x:c>
    </x:row>
    <x:row r="38" ht="15" hidden="0" customHeight="1">
      <x:c r="A38" s="44" t="str">
        <x:v>139-013</x:v>
      </x:c>
      <x:c r="B38" s="44" t="str">
        <x:v>Mohra Moradu stupa and monastery</x:v>
      </x:c>
      <x:c r="C38" s="44" t="n">
        <x:v>250</x:v>
      </x:c>
      <x:c r="D38" s="44" t="n">
        <x:v>246</x:v>
      </x:c>
      <x:c r="E38" s="45" t="n">
        <x:v>577</x:v>
      </x:c>
      <x:c r="F38" s="44" t="n">
        <x:v>553</x:v>
      </x:c>
      <x:c r="G38" s="44" t="n">
        <x:v>616</x:v>
      </x:c>
      <x:c r="H38" s="45" t="n">
        <x:v>17.492658615112305</x:v>
      </x:c>
      <x:c r="I38" s="45" t="n">
        <x:v>28.84606170654297</x:v>
      </x:c>
      <x:c r="J38" s="45" t="n">
        <x:v>7.49672794342041</x:v>
      </x:c>
      <x:c r="K38" s="45" t="n">
        <x:v>-13.544097900390625</x:v>
      </x:c>
      <x:c r="L38" s="45" t="n">
        <x:v>15.5</x:v>
      </x:c>
      <x:c r="M38" s="45" t="n">
        <x:v>7.552565574645996</x:v>
      </x:c>
      <x:c r="N38" s="45" t="n">
        <x:v>121.99613952636719</x:v>
      </x:c>
    </x:row>
    <x:row r="39" ht="15" hidden="0" customHeight="1">
      <x:c r="A39" s="44" t="str">
        <x:v>139-013</x:v>
      </x:c>
      <x:c r="B39" s="44" t="str">
        <x:v>Mohra Moradu stupa and monastery</x:v>
      </x:c>
      <x:c r="C39" s="44" t="n">
        <x:v>500</x:v>
      </x:c>
      <x:c r="D39" s="44" t="n">
        <x:v>994</x:v>
      </x:c>
      <x:c r="E39" s="45" t="n">
        <x:v>589</x:v>
      </x:c>
      <x:c r="F39" s="44" t="n">
        <x:v>536</x:v>
      </x:c>
      <x:c r="G39" s="44" t="n">
        <x:v>655.699951171875</x:v>
      </x:c>
      <x:c r="H39" s="45" t="n">
        <x:v>13.841519355773926</x:v>
      </x:c>
      <x:c r="I39" s="45" t="n">
        <x:v>27.54233169555664</x:v>
      </x:c>
      <x:c r="J39" s="45" t="n">
        <x:v>6.1618781089782715</x:v>
      </x:c>
      <x:c r="K39" s="45" t="n">
        <x:v>-1.638214111328125</x:v>
      </x:c>
      <x:c r="L39" s="45" t="n">
        <x:v>11</x:v>
      </x:c>
      <x:c r="M39" s="45" t="n">
        <x:v>7.587780475616455</x:v>
      </x:c>
      <x:c r="N39" s="45" t="n">
        <x:v>200.63160705566406</x:v>
      </x:c>
    </x:row>
    <x:row r="40" ht="15" hidden="0" customHeight="1">
      <x:c r="A40" s="44" t="str">
        <x:v>139-013</x:v>
      </x:c>
      <x:c r="B40" s="44" t="str">
        <x:v>Mohra Moradu stupa and monastery</x:v>
      </x:c>
      <x:c r="C40" s="44" t="n">
        <x:v>1000</x:v>
      </x:c>
      <x:c r="D40" s="44" t="n">
        <x:v>3961</x:v>
      </x:c>
      <x:c r="E40" s="45" t="n">
        <x:v>578</x:v>
      </x:c>
      <x:c r="F40" s="44" t="n">
        <x:v>525</x:v>
      </x:c>
      <x:c r="G40" s="44" t="n">
        <x:v>647</x:v>
      </x:c>
      <x:c r="H40" s="45" t="n">
        <x:v>9.971423149108887</x:v>
      </x:c>
      <x:c r="I40" s="45" t="n">
        <x:v>23.804553985595703</x:v>
      </x:c>
      <x:c r="J40" s="45" t="n">
        <x:v>4.5</x:v>
      </x:c>
      <x:c r="K40" s="45" t="n">
        <x:v>-2.0596923828125</x:v>
      </x:c>
      <x:c r="L40" s="45" t="n">
        <x:v>11</x:v>
      </x:c>
      <x:c r="M40" s="45" t="n">
        <x:v>7.962604522705078</x:v>
      </x:c>
      <x:c r="N40" s="45" t="n">
        <x:v>257.1202392578125</x:v>
      </x:c>
    </x:row>
    <x:row r="41" ht="15" hidden="0" customHeight="1">
      <x:c r="A41" s="44" t="str">
        <x:v>139-014</x:v>
      </x:c>
      <x:c r="B41" s="44" t="str">
        <x:v>Pippala stupa and monastery</x:v>
      </x:c>
      <x:c r="C41" s="44" t="n">
        <x:v>250</x:v>
      </x:c>
      <x:c r="D41" s="44" t="n">
        <x:v>250</x:v>
      </x:c>
      <x:c r="E41" s="45" t="n">
        <x:v>545.5</x:v>
      </x:c>
      <x:c r="F41" s="44" t="n">
        <x:v>536</x:v>
      </x:c>
      <x:c r="G41" s="44" t="n">
        <x:v>567.199951171875</x:v>
      </x:c>
      <x:c r="H41" s="45" t="n">
        <x:v>5.13391637802124</x:v>
      </x:c>
      <x:c r="I41" s="45" t="n">
        <x:v>18.27747917175293</x:v>
      </x:c>
      <x:c r="J41" s="45" t="n">
        <x:v>2.1505813598632812</x:v>
      </x:c>
      <x:c r="K41" s="45" t="n">
        <x:v>-8.711212158203125</x:v>
      </x:c>
      <x:c r="L41" s="45" t="n">
        <x:v>11</x:v>
      </x:c>
      <x:c r="M41" s="45" t="n">
        <x:v>8.324967384338379</x:v>
      </x:c>
      <x:c r="N41" s="45" t="n">
        <x:v>546.7130126953125</x:v>
      </x:c>
    </x:row>
    <x:row r="42" ht="15" hidden="0" customHeight="1">
      <x:c r="A42" s="44" t="str">
        <x:v>139-014</x:v>
      </x:c>
      <x:c r="B42" s="44" t="str">
        <x:v>Pippala stupa and monastery</x:v>
      </x:c>
      <x:c r="C42" s="44" t="n">
        <x:v>500</x:v>
      </x:c>
      <x:c r="D42" s="44" t="n">
        <x:v>990</x:v>
      </x:c>
      <x:c r="E42" s="45" t="n">
        <x:v>546</x:v>
      </x:c>
      <x:c r="F42" s="44" t="n">
        <x:v>535</x:v>
      </x:c>
      <x:c r="G42" s="44" t="n">
        <x:v>585.0999755859375</x:v>
      </x:c>
      <x:c r="H42" s="45" t="n">
        <x:v>5.241248607635498</x:v>
      </x:c>
      <x:c r="I42" s="45" t="n">
        <x:v>15.444497108459473</x:v>
      </x:c>
      <x:c r="J42" s="45" t="n">
        <x:v>2.2776083946228027</x:v>
      </x:c>
      <x:c r="K42" s="45" t="n">
        <x:v>-5.6749267578125</x:v>
      </x:c>
      <x:c r="L42" s="45" t="n">
        <x:v>9</x:v>
      </x:c>
      <x:c r="M42" s="45" t="n">
        <x:v>8.249528884887695</x:v>
      </x:c>
      <x:c r="N42" s="45" t="n">
        <x:v>502.3909912109375</x:v>
      </x:c>
    </x:row>
    <x:row r="43" ht="15" hidden="0" customHeight="1">
      <x:c r="A43" s="44" t="str">
        <x:v>139-014</x:v>
      </x:c>
      <x:c r="B43" s="44" t="str">
        <x:v>Pippala stupa and monastery</x:v>
      </x:c>
      <x:c r="C43" s="44" t="n">
        <x:v>1000</x:v>
      </x:c>
      <x:c r="D43" s="44" t="n">
        <x:v>3952</x:v>
      </x:c>
      <x:c r="E43" s="45" t="n">
        <x:v>546</x:v>
      </x:c>
      <x:c r="F43" s="44" t="n">
        <x:v>524</x:v>
      </x:c>
      <x:c r="G43" s="44" t="n">
        <x:v>613</x:v>
      </x:c>
      <x:c r="H43" s="45" t="n">
        <x:v>5.975918769836426</x:v>
      </x:c>
      <x:c r="I43" s="45" t="n">
        <x:v>20.553998947143555</x:v>
      </x:c>
      <x:c r="J43" s="45" t="n">
        <x:v>2.709935426712036</x:v>
      </x:c>
      <x:c r="K43" s="45" t="n">
        <x:v>-4.545928955078125</x:v>
      </x:c>
      <x:c r="L43" s="45" t="n">
        <x:v>10</x:v>
      </x:c>
      <x:c r="M43" s="45" t="n">
        <x:v>8.209626197814941</x:v>
      </x:c>
      <x:c r="N43" s="45" t="n">
        <x:v>392.1021728515625</x:v>
      </x:c>
    </x:row>
    <x:row r="44" ht="15" hidden="0" customHeight="1">
      <x:c r="A44" s="44" t="str">
        <x:v>139-015</x:v>
      </x:c>
      <x:c r="B44" s="44" t="str">
        <x:v>Jaulian stupa and monastery</x:v>
      </x:c>
      <x:c r="C44" s="44" t="n">
        <x:v>250</x:v>
      </x:c>
      <x:c r="D44" s="44" t="n">
        <x:v>246</x:v>
      </x:c>
      <x:c r="E44" s="45" t="n">
        <x:v>566.5</x:v>
      </x:c>
      <x:c r="F44" s="44" t="n">
        <x:v>545.5</x:v>
      </x:c>
      <x:c r="G44" s="44" t="n">
        <x:v>589</x:v>
      </x:c>
      <x:c r="H44" s="45" t="n">
        <x:v>10.981178283691406</x:v>
      </x:c>
      <x:c r="I44" s="45" t="n">
        <x:v>21.193641662597656</x:v>
      </x:c>
      <x:c r="J44" s="45" t="n">
        <x:v>4.675393581390381</x:v>
      </x:c>
      <x:c r="K44" s="45" t="n">
        <x:v>-12.771820068359375</x:v>
      </x:c>
      <x:c r="L44" s="45" t="n">
        <x:v>14</x:v>
      </x:c>
      <x:c r="M44" s="45" t="n">
        <x:v>8.525239944458008</x:v>
      </x:c>
      <x:c r="N44" s="45" t="n">
        <x:v>132.9666748046875</x:v>
      </x:c>
    </x:row>
    <x:row r="45" ht="15" hidden="0" customHeight="1">
      <x:c r="A45" s="44" t="str">
        <x:v>139-015</x:v>
      </x:c>
      <x:c r="B45" s="44" t="str">
        <x:v>Jaulian stupa and monastery</x:v>
      </x:c>
      <x:c r="C45" s="44" t="n">
        <x:v>500</x:v>
      </x:c>
      <x:c r="D45" s="44" t="n">
        <x:v>991</x:v>
      </x:c>
      <x:c r="E45" s="45" t="n">
        <x:v>570</x:v>
      </x:c>
      <x:c r="F45" s="44" t="n">
        <x:v>544</x:v>
      </x:c>
      <x:c r="G45" s="44" t="n">
        <x:v>619</x:v>
      </x:c>
      <x:c r="H45" s="45" t="n">
        <x:v>10.61852741241455</x:v>
      </x:c>
      <x:c r="I45" s="45" t="n">
        <x:v>22.06717872619629</x:v>
      </x:c>
      <x:c r="J45" s="45" t="n">
        <x:v>4.613160610198975</x:v>
      </x:c>
      <x:c r="K45" s="45" t="n">
        <x:v>-8.427001953125</x:v>
      </x:c>
      <x:c r="L45" s="45" t="n">
        <x:v>11</x:v>
      </x:c>
      <x:c r="M45" s="45" t="n">
        <x:v>8.078953742980957</x:v>
      </x:c>
      <x:c r="N45" s="45" t="n">
        <x:v>145.58126831054688</x:v>
      </x:c>
    </x:row>
    <x:row r="46" ht="15" hidden="0" customHeight="1">
      <x:c r="A46" s="44" t="str">
        <x:v>139-015</x:v>
      </x:c>
      <x:c r="B46" s="44" t="str">
        <x:v>Jaulian stupa and monastery</x:v>
      </x:c>
      <x:c r="C46" s="44" t="n">
        <x:v>1000</x:v>
      </x:c>
      <x:c r="D46" s="44" t="n">
        <x:v>3959</x:v>
      </x:c>
      <x:c r="E46" s="45" t="n">
        <x:v>580</x:v>
      </x:c>
      <x:c r="F46" s="44" t="n">
        <x:v>540</x:v>
      </x:c>
      <x:c r="G46" s="44" t="n">
        <x:v>666</x:v>
      </x:c>
      <x:c r="H46" s="45" t="n">
        <x:v>11.052664756774902</x:v>
      </x:c>
      <x:c r="I46" s="45" t="n">
        <x:v>23.8735294342041</x:v>
      </x:c>
      <x:c r="J46" s="45" t="n">
        <x:v>4.84768009185791</x:v>
      </x:c>
      <x:c r="K46" s="45" t="n">
        <x:v>-5.47381591796875</x:v>
      </x:c>
      <x:c r="L46" s="45" t="n">
        <x:v>11</x:v>
      </x:c>
      <x:c r="M46" s="45" t="n">
        <x:v>8.074536323547363</x:v>
      </x:c>
      <x:c r="N46" s="45" t="n">
        <x:v>214.70614624023438</x:v>
      </x:c>
    </x:row>
    <x:row r="47" ht="15" hidden="0" customHeight="1">
      <x:c r="A47" s="44" t="str">
        <x:v>139-016</x:v>
      </x:c>
      <x:c r="B47" s="44" t="str">
        <x:v>Lalchak mounds</x:v>
      </x:c>
      <x:c r="C47" s="44" t="n">
        <x:v>250</x:v>
      </x:c>
      <x:c r="D47" s="44" t="n">
        <x:v>246</x:v>
      </x:c>
      <x:c r="E47" s="45" t="n">
        <x:v>509</x:v>
      </x:c>
      <x:c r="F47" s="44" t="n">
        <x:v>506</x:v>
      </x:c>
      <x:c r="G47" s="44" t="n">
        <x:v>512</x:v>
      </x:c>
      <x:c r="H47" s="45" t="n">
        <x:v>2.413038730621338</x:v>
      </x:c>
      <x:c r="I47" s="45" t="n">
        <x:v>4.7610650062561035</x:v>
      </x:c>
      <x:c r="J47" s="45" t="n">
        <x:v>1.1004202365875244</x:v>
      </x:c>
      <x:c r="K47" s="45" t="n">
        <x:v>-0.91046142578125</x:v>
      </x:c>
      <x:c r="L47" s="45" t="n">
        <x:v>6.5</x:v>
      </x:c>
      <x:c r="M47" s="45" t="n">
        <x:v>8.55288028717041</x:v>
      </x:c>
      <x:c r="N47" s="45" t="n">
        <x:v>1354.6435546875</x:v>
      </x:c>
    </x:row>
    <x:row r="48" ht="15" hidden="0" customHeight="1">
      <x:c r="A48" s="44" t="str">
        <x:v>139-016</x:v>
      </x:c>
      <x:c r="B48" s="44" t="str">
        <x:v>Lalchak mounds</x:v>
      </x:c>
      <x:c r="C48" s="44" t="n">
        <x:v>500</x:v>
      </x:c>
      <x:c r="D48" s="44" t="n">
        <x:v>995</x:v>
      </x:c>
      <x:c r="E48" s="45" t="n">
        <x:v>509</x:v>
      </x:c>
      <x:c r="F48" s="44" t="n">
        <x:v>506</x:v>
      </x:c>
      <x:c r="G48" s="44" t="n">
        <x:v>513</x:v>
      </x:c>
      <x:c r="H48" s="45" t="n">
        <x:v>2.227874279022217</x:v>
      </x:c>
      <x:c r="I48" s="45" t="n">
        <x:v>4.342517852783203</x:v>
      </x:c>
      <x:c r="J48" s="45" t="n">
        <x:v>1.0307763814926147</x:v>
      </x:c>
      <x:c r="K48" s="45" t="n">
        <x:v>-0.663909912109375</x:v>
      </x:c>
      <x:c r="L48" s="45" t="n">
        <x:v>5</x:v>
      </x:c>
      <x:c r="M48" s="45" t="n">
        <x:v>8.55288028717041</x:v>
      </x:c>
      <x:c r="N48" s="45" t="n">
        <x:v>1376.990478515625</x:v>
      </x:c>
    </x:row>
    <x:row r="49" ht="15" hidden="0" customHeight="1">
      <x:c r="A49" s="44" t="str">
        <x:v>139-016</x:v>
      </x:c>
      <x:c r="B49" s="44" t="str">
        <x:v>Lalchak mounds</x:v>
      </x:c>
      <x:c r="C49" s="44" t="n">
        <x:v>1000</x:v>
      </x:c>
      <x:c r="D49" s="44" t="n">
        <x:v>3962</x:v>
      </x:c>
      <x:c r="E49" s="45" t="n">
        <x:v>511</x:v>
      </x:c>
      <x:c r="F49" s="44" t="n">
        <x:v>505</x:v>
      </x:c>
      <x:c r="G49" s="44" t="n">
        <x:v>517</x:v>
      </x:c>
      <x:c r="H49" s="45" t="n">
        <x:v>2.227874279022217</x:v>
      </x:c>
      <x:c r="I49" s="45" t="n">
        <x:v>4.544013023376465</x:v>
      </x:c>
      <x:c r="J49" s="45" t="n">
        <x:v>1.0307763814926147</x:v>
      </x:c>
      <x:c r="K49" s="45" t="n">
        <x:v>-0.468780517578125</x:v>
      </x:c>
      <x:c r="L49" s="45" t="n">
        <x:v>6</x:v>
      </x:c>
      <x:c r="M49" s="45" t="n">
        <x:v>8.55288028717041</x:v>
      </x:c>
      <x:c r="N49" s="45" t="n">
        <x:v>1463.0853271484375</x:v>
      </x:c>
    </x:row>
    <x:row r="50" ht="15" hidden="0" customHeight="1">
      <x:c r="A50" s="44" t="str">
        <x:v>139-017</x:v>
      </x:c>
      <x:c r="B50" s="44" t="str">
        <x:v>Buddhist remains around Bhallar stupa</x:v>
      </x:c>
      <x:c r="C50" s="44" t="n">
        <x:v>250</x:v>
      </x:c>
      <x:c r="D50" s="44" t="n">
        <x:v>247</x:v>
      </x:c>
      <x:c r="E50" s="45" t="n">
        <x:v>493</x:v>
      </x:c>
      <x:c r="F50" s="44" t="n">
        <x:v>486</x:v>
      </x:c>
      <x:c r="G50" s="44" t="n">
        <x:v>514</x:v>
      </x:c>
      <x:c r="H50" s="45" t="n">
        <x:v>5.975918769836426</x:v>
      </x:c>
      <x:c r="I50" s="45" t="n">
        <x:v>15.201643943786621</x:v>
      </x:c>
      <x:c r="J50" s="45" t="n">
        <x:v>2.910111665725708</x:v>
      </x:c>
      <x:c r="K50" s="45" t="n">
        <x:v>0.75390625</x:v>
      </x:c>
      <x:c r="L50" s="45" t="n">
        <x:v>8</x:v>
      </x:c>
      <x:c r="M50" s="45" t="n">
        <x:v>8.273488998413086</x:v>
      </x:c>
      <x:c r="N50" s="45" t="n">
        <x:v>335.5842590332031</x:v>
      </x:c>
    </x:row>
    <x:row r="51" ht="15" hidden="0" customHeight="1">
      <x:c r="A51" s="44" t="str">
        <x:v>139-017</x:v>
      </x:c>
      <x:c r="B51" s="44" t="str">
        <x:v>Buddhist remains around Bhallar stupa</x:v>
      </x:c>
      <x:c r="C51" s="44" t="n">
        <x:v>500</x:v>
      </x:c>
      <x:c r="D51" s="44" t="n">
        <x:v>990</x:v>
      </x:c>
      <x:c r="E51" s="45" t="n">
        <x:v>489</x:v>
      </x:c>
      <x:c r="F51" s="44" t="n">
        <x:v>484</x:v>
      </x:c>
      <x:c r="G51" s="44" t="n">
        <x:v>519</x:v>
      </x:c>
      <x:c r="H51" s="45" t="n">
        <x:v>2.996107578277588</x:v>
      </x:c>
      <x:c r="I51" s="45" t="n">
        <x:v>15.247737884521484</x:v>
      </x:c>
      <x:c r="J51" s="45" t="n">
        <x:v>1.334634780883789</x:v>
      </x:c>
      <x:c r="K51" s="45" t="n">
        <x:v>-1.665283203125</x:v>
      </x:c>
      <x:c r="L51" s="45" t="n">
        <x:v>9</x:v>
      </x:c>
      <x:c r="M51" s="45" t="n">
        <x:v>8.55288028717041</x:v>
      </x:c>
      <x:c r="N51" s="45" t="n">
        <x:v>335.8097229003906</x:v>
      </x:c>
    </x:row>
    <x:row r="52" ht="15" hidden="0" customHeight="1">
      <x:c r="A52" s="44" t="str">
        <x:v>139-017</x:v>
      </x:c>
      <x:c r="B52" s="44" t="str">
        <x:v>Buddhist remains around Bhallar stupa</x:v>
      </x:c>
      <x:c r="C52" s="44" t="n">
        <x:v>1000</x:v>
      </x:c>
      <x:c r="D52" s="44" t="n">
        <x:v>3958</x:v>
      </x:c>
      <x:c r="E52" s="45" t="n">
        <x:v>487</x:v>
      </x:c>
      <x:c r="F52" s="44" t="n">
        <x:v>481</x:v>
      </x:c>
      <x:c r="G52" s="44" t="n">
        <x:v>565</x:v>
      </x:c>
      <x:c r="H52" s="45" t="n">
        <x:v>3.5618276596069336</x:v>
      </x:c>
      <x:c r="I52" s="45" t="n">
        <x:v>16.782211303710938</x:v>
      </x:c>
      <x:c r="J52" s="45" t="n">
        <x:v>1.4737282991409302</x:v>
      </x:c>
      <x:c r="K52" s="45" t="n">
        <x:v>-1.0436248779296875</x:v>
      </x:c>
      <x:c r="L52" s="45" t="n">
        <x:v>9</x:v>
      </x:c>
      <x:c r="M52" s="45" t="n">
        <x:v>8.474857330322266</x:v>
      </x:c>
      <x:c r="N52" s="45" t="n">
        <x:v>441.9952087402344</x:v>
      </x:c>
    </x:row>
    <x:row r="53" ht="15" hidden="0" customHeight="1">
      <x:c r="A53" s="44" t="str">
        <x:v>139-018</x:v>
      </x:c>
      <x:c r="B53" s="44" t="str">
        <x:v>Giri Mosque and tombs</x:v>
      </x:c>
      <x:c r="C53" s="44" t="n">
        <x:v>250</x:v>
      </x:c>
      <x:c r="D53" s="44" t="n">
        <x:v>246</x:v>
      </x:c>
      <x:c r="E53" s="45" t="n">
        <x:v>622</x:v>
      </x:c>
      <x:c r="F53" s="44" t="n">
        <x:v>602</x:v>
      </x:c>
      <x:c r="G53" s="44" t="n">
        <x:v>649</x:v>
      </x:c>
      <x:c r="H53" s="45" t="n">
        <x:v>14.211698532104492</x:v>
      </x:c>
      <x:c r="I53" s="45" t="n">
        <x:v>23.42259979248047</x:v>
      </x:c>
      <x:c r="J53" s="45" t="n">
        <x:v>5.8470072746276855</x:v>
      </x:c>
      <x:c r="K53" s="45" t="n">
        <x:v>-35.249755859375</x:v>
      </x:c>
      <x:c r="L53" s="45" t="n">
        <x:v>20</x:v>
      </x:c>
      <x:c r="M53" s="45" t="n">
        <x:v>8.186284065246582</x:v>
      </x:c>
      <x:c r="N53" s="45" t="n">
        <x:v>126.12709045410156</x:v>
      </x:c>
    </x:row>
    <x:row r="54" ht="15" hidden="0" customHeight="1">
      <x:c r="A54" s="44" t="str">
        <x:v>139-018</x:v>
      </x:c>
      <x:c r="B54" s="44" t="str">
        <x:v>Giri Mosque and tombs</x:v>
      </x:c>
      <x:c r="C54" s="44" t="n">
        <x:v>500</x:v>
      </x:c>
      <x:c r="D54" s="44" t="n">
        <x:v>993</x:v>
      </x:c>
      <x:c r="E54" s="45" t="n">
        <x:v>640</x:v>
      </x:c>
      <x:c r="F54" s="44" t="n">
        <x:v>604</x:v>
      </x:c>
      <x:c r="G54" s="44" t="n">
        <x:v>730</x:v>
      </x:c>
      <x:c r="H54" s="45" t="n">
        <x:v>15.375178337097168</x:v>
      </x:c>
      <x:c r="I54" s="45" t="n">
        <x:v>29.54370880126953</x:v>
      </x:c>
      <x:c r="J54" s="45" t="n">
        <x:v>6.39579963684082</x:v>
      </x:c>
      <x:c r="K54" s="45" t="n">
        <x:v>-12.73187255859375</x:v>
      </x:c>
      <x:c r="L54" s="45" t="n">
        <x:v>16</x:v>
      </x:c>
      <x:c r="M54" s="45" t="n">
        <x:v>7.841890335083008</x:v>
      </x:c>
      <x:c r="N54" s="45" t="n">
        <x:v>179.8971710205078</x:v>
      </x:c>
    </x:row>
    <x:row r="55" ht="15" hidden="0" customHeight="1">
      <x:c r="A55" s="44" t="str">
        <x:v>139-018</x:v>
      </x:c>
      <x:c r="B55" s="44" t="str">
        <x:v>Giri Mosque and tombs</x:v>
      </x:c>
      <x:c r="C55" s="44" t="n">
        <x:v>1000</x:v>
      </x:c>
      <x:c r="D55" s="44" t="n">
        <x:v>3959</x:v>
      </x:c>
      <x:c r="E55" s="45" t="n">
        <x:v>645</x:v>
      </x:c>
      <x:c r="F55" s="44" t="n">
        <x:v>587</x:v>
      </x:c>
      <x:c r="G55" s="44" t="n">
        <x:v>863</x:v>
      </x:c>
      <x:c r="H55" s="45" t="n">
        <x:v>15.86617374420166</x:v>
      </x:c>
      <x:c r="I55" s="45" t="n">
        <x:v>31.726200103759766</x:v>
      </x:c>
      <x:c r="J55" s="45" t="n">
        <x:v>6.864765167236328</x:v>
      </x:c>
      <x:c r="K55" s="45" t="n">
        <x:v>-7.82550048828125</x:v>
      </x:c>
      <x:c r="L55" s="45" t="n">
        <x:v>18</x:v>
      </x:c>
      <x:c r="M55" s="45" t="n">
        <x:v>7.842559814453125</x:v>
      </x:c>
      <x:c r="N55" s="45" t="n">
        <x:v>179.8971710205078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02b62731753744b4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1" customHeight="1">
      <x:c r="A1" s="34" t="str">
        <x:v>Exploratory climate–spectral associations</x:v>
      </x:c>
      <x:c r="B1" s="35"/>
      <x:c r="C1" s="35"/>
      <x:c r="D1" s="35"/>
      <x:c r="E1" s="35"/>
      <x:c r="F1" s="35"/>
      <x:c r="G1" s="35"/>
      <x:c r="H1" s="35"/>
    </x:row>
    <x:row r="2" ht="30" customHeight="1">
      <x:c r="A2" s="36" t="str">
        <x:v>Only five unique epochs: report effect direction and leave-one-epoch-out sign stability, not confirmatory p-values</x:v>
      </x:c>
      <x:c r="B2" s="35"/>
      <x:c r="C2" s="35"/>
      <x:c r="D2" s="35"/>
      <x:c r="E2" s="35"/>
      <x:c r="F2" s="35"/>
      <x:c r="G2" s="35"/>
      <x:c r="H2" s="35"/>
    </x:row>
    <x:row r="3">
      <x:c r="A3" s="35"/>
      <x:c r="B3" s="35"/>
      <x:c r="C3" s="35"/>
      <x:c r="D3" s="35"/>
      <x:c r="E3" s="35"/>
      <x:c r="F3" s="35"/>
      <x:c r="G3" s="35"/>
      <x:c r="H3" s="35"/>
    </x:row>
    <x:row r="4" ht="33" customHeight="1">
      <x:c r="A4" s="43" t="str">
        <x:v>climate_metric</x:v>
      </x:c>
      <x:c r="B4" s="43" t="str">
        <x:v>spectral_metric</x:v>
      </x:c>
      <x:c r="C4" s="43" t="str">
        <x:v>spearman_rho_n5</x:v>
      </x:c>
      <x:c r="D4" s="43" t="str">
        <x:v>expected_direction</x:v>
      </x:c>
      <x:c r="E4" s="43" t="str">
        <x:v>loo_rho_min</x:v>
      </x:c>
      <x:c r="F4" s="43" t="str">
        <x:v>loo_rho_max</x:v>
      </x:c>
      <x:c r="G4" s="43" t="str">
        <x:v>loo_sign_stability</x:v>
      </x:c>
      <x:c r="H4" s="43" t="str">
        <x:v>inference_status</x:v>
      </x:c>
    </x:row>
    <x:row r="5" ht="15" hidden="0" customHeight="1">
      <x:c r="A5" s="44" t="str">
        <x:v>climate_extreme_score</x:v>
      </x:c>
      <x:c r="B5" s="44" t="str">
        <x:v>grid_median_ndvi</x:v>
      </x:c>
      <x:c r="C5" s="45" t="n">
        <x:v>0.3</x:v>
      </x:c>
      <x:c r="D5" s="44" t="n">
        <x:v>-1</x:v>
      </x:c>
      <x:c r="E5" s="45" t="n">
        <x:v>-0.39999999999999997</x:v>
      </x:c>
      <x:c r="F5" s="45" t="n">
        <x:v>0.7999999999999999</x:v>
      </x:c>
      <x:c r="G5" s="45" t="n">
        <x:v>0.8</x:v>
      </x:c>
      <x:c r="H5" s="44" t="str">
        <x:v>exploratory_no_p_value_five_unique_epochs</x:v>
      </x:c>
    </x:row>
    <x:row r="6" ht="15" hidden="0" customHeight="1">
      <x:c r="A6" s="44" t="str">
        <x:v>climate_extreme_score</x:v>
      </x:c>
      <x:c r="B6" s="44" t="str">
        <x:v>grid_median_mndwi</x:v>
      </x:c>
      <x:c r="C6" s="45" t="n">
        <x:v>-0.6</x:v>
      </x:c>
      <x:c r="D6" s="44" t="n">
        <x:v>-1</x:v>
      </x:c>
      <x:c r="E6" s="45" t="n">
        <x:v>-0.7999999999999999</x:v>
      </x:c>
      <x:c r="F6" s="45" t="n">
        <x:v>-0.19999999999999998</x:v>
      </x:c>
      <x:c r="G6" s="45" t="n">
        <x:v>1</x:v>
      </x:c>
      <x:c r="H6" s="44" t="str">
        <x:v>exploratory_no_p_value_five_unique_epochs</x:v>
      </x:c>
    </x:row>
    <x:row r="7" ht="15" hidden="0" customHeight="1">
      <x:c r="A7" s="44" t="str">
        <x:v>climate_extreme_score</x:v>
      </x:c>
      <x:c r="B7" s="44" t="str">
        <x:v>grid_median_ndbi</x:v>
      </x:c>
      <x:c r="C7" s="45" t="n">
        <x:v>-0.3</x:v>
      </x:c>
      <x:c r="D7" s="44" t="n">
        <x:v>1</x:v>
      </x:c>
      <x:c r="E7" s="45" t="n">
        <x:v>-0.7999999999999999</x:v>
      </x:c>
      <x:c r="F7" s="45" t="n">
        <x:v>0.39999999999999997</x:v>
      </x:c>
      <x:c r="G7" s="45" t="n">
        <x:v>0.8</x:v>
      </x:c>
      <x:c r="H7" s="44" t="str">
        <x:v>exploratory_no_p_value_five_unique_epochs</x:v>
      </x:c>
    </x:row>
    <x:row r="8" ht="15" hidden="0" customHeight="1">
      <x:c r="A8" s="44" t="str">
        <x:v>rx5day_mm</x:v>
      </x:c>
      <x:c r="B8" s="44" t="str">
        <x:v>grid_median_mndwi</x:v>
      </x:c>
      <x:c r="C8" s="45" t="n">
        <x:v>-0.09999999999999999</x:v>
      </x:c>
      <x:c r="D8" s="44" t="n">
        <x:v>1</x:v>
      </x:c>
      <x:c r="E8" s="45" t="n">
        <x:v>-0.6000000000000001</x:v>
      </x:c>
      <x:c r="F8" s="45" t="n">
        <x:v>0.39999999999999997</x:v>
      </x:c>
      <x:c r="G8" s="45" t="n">
        <x:v>0.6666666666666666</x:v>
      </x:c>
      <x:c r="H8" s="44" t="str">
        <x:v>exploratory_no_p_value_five_unique_epochs</x:v>
      </x:c>
    </x:row>
    <x:row r="9" ht="15" hidden="0" customHeight="1">
      <x:c r="A9" s="44" t="str">
        <x:v>cdd_days</x:v>
      </x:c>
      <x:c r="B9" s="44" t="str">
        <x:v>grid_median_mndwi</x:v>
      </x:c>
      <x:c r="C9" s="45" t="n">
        <x:v>0.49999999999999994</x:v>
      </x:c>
      <x:c r="D9" s="44" t="n">
        <x:v>-1</x:v>
      </x:c>
      <x:c r="E9" s="45" t="n">
        <x:v>0.19999999999999998</x:v>
      </x:c>
      <x:c r="F9" s="45" t="n">
        <x:v>0.6000000000000001</x:v>
      </x:c>
      <x:c r="G9" s="45" t="n">
        <x:v>1</x:v>
      </x:c>
      <x:c r="H9" s="44" t="str">
        <x:v>exploratory_no_p_value_five_unique_epochs</x:v>
      </x:c>
    </x:row>
    <x:row r="10" ht="15" hidden="0" customHeight="1">
      <x:c r="A10" s="44" t="str">
        <x:v>tx95_days</x:v>
      </x:c>
      <x:c r="B10" s="44" t="str">
        <x:v>grid_median_ndvi</x:v>
      </x:c>
      <x:c r="C10" s="45" t="n">
        <x:v>-0.6</x:v>
      </x:c>
      <x:c r="D10" s="44" t="n">
        <x:v>-1</x:v>
      </x:c>
      <x:c r="E10" s="45" t="n">
        <x:v>-0.7999999999999999</x:v>
      </x:c>
      <x:c r="F10" s="45" t="n">
        <x:v>-0.39999999999999997</x:v>
      </x:c>
      <x:c r="G10" s="45" t="n">
        <x:v>1</x:v>
      </x:c>
      <x:c r="H10" s="44" t="str">
        <x:v>exploratory_no_p_value_five_unique_epochs</x:v>
      </x:c>
    </x:row>
    <x:row r="11" ht="15" hidden="0" customHeight="1">
      <x:c r="A11" s="44" t="str">
        <x:v>monsoon_rainfall_mm</x:v>
      </x:c>
      <x:c r="B11" s="44" t="str">
        <x:v>grid_median_ndvi</x:v>
      </x:c>
      <x:c r="C11" s="45" t="n">
        <x:v>0.8999999999999998</x:v>
      </x:c>
      <x:c r="D11" s="44" t="n">
        <x:v>1</x:v>
      </x:c>
      <x:c r="E11" s="45" t="n">
        <x:v>0.7999999999999999</x:v>
      </x:c>
      <x:c r="F11" s="45" t="n">
        <x:v>1</x:v>
      </x:c>
      <x:c r="G11" s="45" t="n">
        <x:v>1</x:v>
      </x:c>
      <x:c r="H11" s="44" t="str">
        <x:v>exploratory_no_p_value_five_unique_epochs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1ed330dbe8484a5d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4" hidden="0" customWidth="1"/>
  </x:cols>
  <x:sheetData>
    <x:row r="1" ht="31" customHeight="1">
      <x:c r="A1" s="34" t="str">
        <x:v>Validation gates and source provenance</x:v>
      </x:c>
      <x:c r="B1" s="35"/>
    </x:row>
    <x:row r="2" ht="30" customHeight="1">
      <x:c r="A2" s="36" t="str">
        <x:v>Machine-readable checksums and executable structural checks</x:v>
      </x:c>
      <x:c r="B2" s="35"/>
    </x:row>
    <x:row r="3">
      <x:c r="A3" s="35"/>
      <x:c r="B3" s="35"/>
    </x:row>
    <x:row r="4" ht="33" customHeight="1">
      <x:c r="A4" s="43" t="str">
        <x:v>Metric</x:v>
      </x:c>
      <x:c r="B4" s="43" t="str">
        <x:v>Value</x:v>
      </x:c>
    </x:row>
    <x:row r="5" ht="15" hidden="0" customHeight="1">
      <x:c r="A5" s="44" t="str">
        <x:v>Status</x:v>
      </x:c>
      <x:c r="B5" s="44" t="str">
        <x:v>PASS</x:v>
      </x:c>
    </x:row>
    <x:row r="6" ht="15" hidden="0" customHeight="1">
      <x:c r="A6" s="44" t="str">
        <x:v>Checks passed</x:v>
      </x:c>
      <x:c r="B6" s="44" t="n">
        <x:v>20</x:v>
      </x:c>
    </x:row>
    <x:row r="7" ht="15" hidden="0" customHeight="1">
      <x:c r="A7" s="44" t="str">
        <x:v>Checks total</x:v>
      </x:c>
      <x:c r="B7" s="44" t="n">
        <x:v>20</x:v>
      </x:c>
    </x:row>
    <x:row r="8" ht="15" hidden="0" customHeight="1">
      <x:c r="A8" s="44" t="str">
        <x:v>NASA POWER SHA-256</x:v>
      </x:c>
      <x:c r="B8" s="44" t="str">
        <x:v>d1868aa2b5d39f523c13f87a4a3848fdf22e8222b15d089ce06d6da3db42a6ef</x:v>
      </x:c>
    </x:row>
    <x:row r="9" ht="15" hidden="0" customHeight="1">
      <x:c r="A9" s="44" t="str">
        <x:v>Terrain tile SHA-256</x:v>
      </x:c>
      <x:c r="B9" s="44" t="str">
        <x:v>3533552b896de675087a6cfbd6d758f44b1ef46397b1a277b195c1d760c9fbd0</x:v>
      </x:c>
    </x:row>
    <x:row r="10" ht="15" hidden="0" customHeight="1">
      <x:c r="A10" s="44" t="str">
        <x:v>Raw-manifest SHA-256</x:v>
      </x:c>
      <x:c r="B10" s="44" t="str">
        <x:v>b047de233f280a24275f73e21b55d10bd64b2f2ba768ff21653067041c6f188c</x:v>
      </x:c>
    </x:row>
    <x:row r="11">
      <x:c r="A11" s="35"/>
      <x:c r="B11" s="35"/>
    </x:row>
    <x:row r="12">
      <x:c r="A12" s="35"/>
      <x:c r="B12" s="35"/>
    </x:row>
    <x:row r="13">
      <x:c r="A13" s="37" t="str">
        <x:v>Source</x:v>
      </x:c>
      <x:c r="B13" s="37" t="str">
        <x:v>URL</x:v>
      </x:c>
    </x:row>
    <x:row r="14">
      <x:c r="A14" s="41" t="str">
        <x:v>NASA POWER Daily API</x:v>
      </x:c>
      <x:c r="B14" s="41" t="str">
        <x:v>https://power.larc.nasa.gov/docs/services/api/temporal/daily/</x:v>
      </x:c>
    </x:row>
    <x:row r="15">
      <x:c r="A15" s="41" t="str">
        <x:v>NASA POWER resolution guidance</x:v>
      </x:c>
      <x:c r="B15" s="41" t="str">
        <x:v>https://power.larc.nasa.gov/docs/tutorials/service-data-request/api/</x:v>
      </x:c>
    </x:row>
    <x:row r="16">
      <x:c r="A16" s="41" t="str">
        <x:v>AWS Terrain Tiles</x:v>
      </x:c>
      <x:c r="B16" s="41" t="str">
        <x:v>https://registry.opendata.aws/terrain-tiles/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4b2f193d60b041a2"/>
  </x:tableParts>
</x:worksheet>
</file>